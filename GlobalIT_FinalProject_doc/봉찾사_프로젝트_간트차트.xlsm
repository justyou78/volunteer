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qnfgh\Desktop\"/>
    </mc:Choice>
  </mc:AlternateContent>
  <bookViews>
    <workbookView xWindow="-120" yWindow="-120" windowWidth="29040" windowHeight="15996" tabRatio="632" firstSheet="1" activeTab="2"/>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functionGroups builtInGroupCount="18"/>
  <externalReferences>
    <externalReference r:id="rId10"/>
  </externalReferences>
  <definedNames>
    <definedName name="_xlnm._FilterDatabase" localSheetId="2" hidden="1">Schedule!$P$3:$AE$4</definedName>
    <definedName name="ACTUAL_RATE" localSheetId="7">[1]Progress!$B$21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7">[1]Progress!$B$18</definedName>
    <definedName name="PLANNED_RATE">Progress!$B$18</definedName>
    <definedName name="PLANNED_WORKLOAD">Progress!$B$9</definedName>
    <definedName name="_xlnm.Print_Area" localSheetId="2">Schedule!$D$1:$AW$68</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 localSheetId="7">[1]Schedule!#REF!</definedName>
    <definedName name="RNG_WBS_AREA_LAST_COL_NAME">Schedule!$AE$3</definedName>
    <definedName name="RNG_WBS_COL_NAME">Schedule!$D$3</definedName>
    <definedName name="RNG_WBS_LEVEL_COL_NAME">Schedule!$C$3</definedName>
    <definedName name="STD_CAL" localSheetId="7">[1]Calendar!$B$5:$B$304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F5" i="2" l="1"/>
  <c r="AF6" i="2"/>
  <c r="AF7" i="2"/>
  <c r="AF8" i="2"/>
  <c r="AF9" i="2"/>
  <c r="AG10" i="2"/>
  <c r="AG11" i="2"/>
  <c r="AG12" i="2"/>
  <c r="AG13" i="2"/>
  <c r="AG14" i="2"/>
  <c r="AG15" i="2"/>
  <c r="AG16" i="2"/>
  <c r="AG17" i="2"/>
  <c r="AG18" i="2"/>
  <c r="AG19" i="2"/>
  <c r="AG20" i="2"/>
  <c r="AG21" i="2"/>
  <c r="AH22" i="2"/>
  <c r="AH23" i="2"/>
  <c r="AH24" i="2"/>
  <c r="AH25" i="2"/>
  <c r="AH26" i="2"/>
  <c r="AH27" i="2"/>
  <c r="AH28" i="2"/>
  <c r="AH29" i="2"/>
  <c r="AI30" i="2"/>
  <c r="AI31" i="2"/>
  <c r="AI32" i="2"/>
  <c r="AI33" i="2"/>
  <c r="AI34" i="2"/>
  <c r="AI35" i="2"/>
  <c r="AI36" i="2"/>
  <c r="AI37" i="2"/>
  <c r="AI38" i="2"/>
  <c r="AI39" i="2"/>
  <c r="AI40" i="2"/>
  <c r="AJ41" i="2"/>
  <c r="AJ42" i="2"/>
  <c r="AJ43" i="2"/>
  <c r="AJ44" i="2"/>
  <c r="AJ45" i="2"/>
  <c r="AJ46" i="2"/>
  <c r="AK47" i="2"/>
  <c r="AK48" i="2"/>
  <c r="AK49" i="2"/>
  <c r="AK50" i="2"/>
  <c r="AK51" i="2"/>
  <c r="AK52" i="2"/>
  <c r="AK53" i="2"/>
  <c r="AK54" i="2"/>
  <c r="AK55" i="2"/>
  <c r="AK56" i="2"/>
  <c r="AK57" i="2"/>
  <c r="AK58" i="2"/>
  <c r="AK59" i="2"/>
  <c r="AL60" i="2"/>
  <c r="AL61" i="2"/>
  <c r="AL62" i="2"/>
  <c r="AL63" i="2"/>
  <c r="AL64" i="2"/>
  <c r="AL65" i="2"/>
  <c r="AL66" i="2"/>
  <c r="AL67" i="2"/>
  <c r="AL68" i="2"/>
  <c r="D1" i="2"/>
  <c r="J29" i="4" l="1"/>
  <c r="G29" i="4"/>
  <c r="D29" i="4"/>
  <c r="F7" i="4" s="1"/>
  <c r="E8" i="4"/>
  <c r="E9" i="4" s="1"/>
  <c r="K7" i="4"/>
  <c r="K8" i="4" s="1"/>
  <c r="H7" i="4"/>
  <c r="E7" i="4"/>
  <c r="I7" i="4" l="1"/>
  <c r="F8" i="4"/>
  <c r="K9" i="4"/>
  <c r="L8" i="4"/>
  <c r="F9" i="4"/>
  <c r="E10" i="4"/>
  <c r="H8" i="4"/>
  <c r="L7"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I8" i="4" l="1"/>
  <c r="H9" i="4"/>
  <c r="F10" i="4"/>
  <c r="E11" i="4"/>
  <c r="K10" i="4"/>
  <c r="L9" i="4"/>
  <c r="B24" i="3"/>
  <c r="AE1" i="2"/>
  <c r="AE2" i="2"/>
  <c r="K11" i="4" l="1"/>
  <c r="L10" i="4"/>
  <c r="F11" i="4"/>
  <c r="E12" i="4"/>
  <c r="I9" i="4"/>
  <c r="H10" i="4"/>
  <c r="F12" i="4" l="1"/>
  <c r="E13" i="4"/>
  <c r="I10" i="4"/>
  <c r="H11" i="4"/>
  <c r="L11" i="4"/>
  <c r="K12" i="4"/>
  <c r="L12" i="4" s="1"/>
  <c r="F13" i="4" l="1"/>
  <c r="E14" i="4"/>
  <c r="H12" i="4"/>
  <c r="I12" i="4" s="1"/>
  <c r="I11" i="4"/>
  <c r="E15" i="4" l="1"/>
  <c r="F14" i="4"/>
  <c r="E16" i="4" l="1"/>
  <c r="F15" i="4"/>
  <c r="E17" i="4" l="1"/>
  <c r="F16" i="4"/>
  <c r="F17" i="4" l="1"/>
  <c r="E18" i="4"/>
  <c r="E19" i="4" l="1"/>
  <c r="F18" i="4"/>
  <c r="E20" i="4" l="1"/>
  <c r="F19" i="4"/>
  <c r="F20" i="4" l="1"/>
  <c r="E21" i="4"/>
  <c r="E22" i="4" l="1"/>
  <c r="F21" i="4"/>
  <c r="F22" i="4" l="1"/>
  <c r="E23" i="4"/>
  <c r="E24" i="4" l="1"/>
  <c r="F23" i="4"/>
  <c r="F24" i="4" l="1"/>
  <c r="E25" i="4"/>
  <c r="F25" i="4" l="1"/>
  <c r="E26" i="4"/>
  <c r="E27" i="4" l="1"/>
  <c r="F26" i="4"/>
  <c r="F27" i="4" l="1"/>
  <c r="E28" i="4"/>
  <c r="F28" i="4" s="1"/>
</calcChain>
</file>

<file path=xl/sharedStrings.xml><?xml version="1.0" encoding="utf-8"?>
<sst xmlns="http://schemas.openxmlformats.org/spreadsheetml/2006/main" count="2437" uniqueCount="1506">
  <si>
    <t>Man/Day</t>
    <phoneticPr fontId="7" type="noConversion"/>
  </si>
  <si>
    <t>Man-Day</t>
  </si>
  <si>
    <t>Man-Month</t>
  </si>
  <si>
    <t>ITEM</t>
    <phoneticPr fontId="7" type="noConversion"/>
  </si>
  <si>
    <t>VALUE1</t>
    <phoneticPr fontId="7" type="noConversion"/>
  </si>
  <si>
    <t>VALUE2</t>
    <phoneticPr fontId="7" type="noConversion"/>
  </si>
  <si>
    <t>VALUE3</t>
  </si>
  <si>
    <t>INSERTED_DATE</t>
    <phoneticPr fontId="7" type="noConversion"/>
  </si>
  <si>
    <t>UPDATED_DATE</t>
    <phoneticPr fontId="7" type="noConversion"/>
  </si>
  <si>
    <t>COMPANY</t>
    <phoneticPr fontId="7" type="noConversion"/>
  </si>
  <si>
    <t>XLWorks</t>
    <phoneticPr fontId="7" type="noConversion"/>
  </si>
  <si>
    <t>DO NOT UPDATE</t>
    <phoneticPr fontId="7" type="noConversion"/>
  </si>
  <si>
    <t>AUTHOR_EMAIL</t>
    <phoneticPr fontId="7" type="noConversion"/>
  </si>
  <si>
    <t>PROGRAM_NAME</t>
    <phoneticPr fontId="7" type="noConversion"/>
  </si>
  <si>
    <t>XLGantt</t>
  </si>
  <si>
    <t>PROGRAM_SITE</t>
    <phoneticPr fontId="7" type="noConversion"/>
  </si>
  <si>
    <t>http://xlworks.net</t>
    <phoneticPr fontId="7" type="noConversion"/>
  </si>
  <si>
    <t>PROGRAM_SITE_DISP</t>
    <phoneticPr fontId="7" type="noConversion"/>
  </si>
  <si>
    <t>VERSION</t>
    <phoneticPr fontId="7" type="noConversion"/>
  </si>
  <si>
    <t>DO NOT UPDATE</t>
    <phoneticPr fontId="7" type="noConversion"/>
  </si>
  <si>
    <t>RELEASE_DATE</t>
    <phoneticPr fontId="7" type="noConversion"/>
  </si>
  <si>
    <t>LICENSE</t>
    <phoneticPr fontId="7" type="noConversion"/>
  </si>
  <si>
    <t>Freeware</t>
    <phoneticPr fontId="7" type="noConversion"/>
  </si>
  <si>
    <t>Name:projectName</t>
  </si>
  <si>
    <t>Name:isConfirmedProjectBasicInfo</t>
  </si>
  <si>
    <t>Name:projectStartDate</t>
  </si>
  <si>
    <t>Name:projectEndDate</t>
  </si>
  <si>
    <t>Name:optScheduleChangeMgt</t>
  </si>
  <si>
    <t>Name:optPlanRateCriteriaDate</t>
  </si>
  <si>
    <t>Name:chkDeliverablesMgt</t>
    <phoneticPr fontId="7" type="noConversion"/>
  </si>
  <si>
    <t>Name:savePathType</t>
    <phoneticPr fontId="7" type="noConversion"/>
  </si>
  <si>
    <t>Name:txtDefinedPath</t>
    <phoneticPr fontId="7" type="noConversion"/>
  </si>
  <si>
    <t>Name:txtAutoDefinedBasePath</t>
    <phoneticPr fontId="7" type="noConversion"/>
  </si>
  <si>
    <t>Name:txtPgmName1</t>
    <phoneticPr fontId="7" type="noConversion"/>
  </si>
  <si>
    <t>Name:txtFileExt1</t>
  </si>
  <si>
    <t>Name:txtPgmPath1</t>
    <phoneticPr fontId="7" type="noConversion"/>
  </si>
  <si>
    <t>Name:chkInclude2SelectList1</t>
    <phoneticPr fontId="7" type="noConversion"/>
  </si>
  <si>
    <t>Name:txtPgmName2</t>
    <phoneticPr fontId="7" type="noConversion"/>
  </si>
  <si>
    <t>Name:txtFileExt2</t>
    <phoneticPr fontId="7" type="noConversion"/>
  </si>
  <si>
    <t>Name:txtPgmPath2</t>
    <phoneticPr fontId="7" type="noConversion"/>
  </si>
  <si>
    <t>Name:chkInclude2SelectList2</t>
    <phoneticPr fontId="7" type="noConversion"/>
  </si>
  <si>
    <t>Name:txtPgmName3</t>
    <phoneticPr fontId="7" type="noConversion"/>
  </si>
  <si>
    <t>Name:txtFileExt3</t>
    <phoneticPr fontId="7" type="noConversion"/>
  </si>
  <si>
    <t>Name:txtPgmPath3</t>
    <phoneticPr fontId="7" type="noConversion"/>
  </si>
  <si>
    <t>Name:chkInclude2SelectList3</t>
    <phoneticPr fontId="7" type="noConversion"/>
  </si>
  <si>
    <t>Name:txtPgmName4</t>
    <phoneticPr fontId="7" type="noConversion"/>
  </si>
  <si>
    <t>Name:txtFileExt4</t>
    <phoneticPr fontId="7" type="noConversion"/>
  </si>
  <si>
    <t>Name:txtPgmPath4</t>
    <phoneticPr fontId="7" type="noConversion"/>
  </si>
  <si>
    <t>Name:chkInclude2SelectList4</t>
    <phoneticPr fontId="7" type="noConversion"/>
  </si>
  <si>
    <t>Name:txtPgmName5</t>
    <phoneticPr fontId="7" type="noConversion"/>
  </si>
  <si>
    <t>Name:txtFileExt5</t>
    <phoneticPr fontId="7" type="noConversion"/>
  </si>
  <si>
    <t>Name:txtPgmPath5</t>
    <phoneticPr fontId="7" type="noConversion"/>
  </si>
  <si>
    <t>Name:chkInclude2SelectList5</t>
    <phoneticPr fontId="7"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</si>
  <si>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</si>
  <si>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</si>
  <si>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</si>
  <si>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</si>
  <si>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</si>
  <si>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</si>
  <si>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</si>
  <si>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</si>
  <si>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</si>
  <si>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</si>
  <si>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</si>
  <si>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</si>
  <si>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</si>
  <si>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</si>
  <si>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</si>
  <si>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</si>
  <si>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</si>
  <si>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</si>
  <si>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</si>
  <si>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</si>
  <si>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</si>
  <si>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</si>
  <si>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</si>
  <si>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</si>
  <si>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</si>
  <si>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</si>
  <si>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</si>
  <si>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</si>
  <si>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</si>
  <si>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</si>
  <si>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</si>
  <si>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</si>
  <si>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</si>
  <si>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</si>
  <si>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</si>
  <si>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</si>
  <si>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</si>
  <si>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</si>
  <si>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</si>
  <si>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</si>
  <si>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</si>
  <si>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</si>
  <si>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</si>
  <si>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</si>
  <si>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</si>
  <si>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</si>
  <si>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</si>
  <si>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</si>
  <si>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</si>
  <si>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</si>
  <si>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</si>
  <si>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</si>
  <si>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</si>
  <si>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</si>
  <si>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</si>
  <si>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</si>
  <si>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</si>
  <si>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</si>
  <si>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</si>
  <si>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</si>
  <si>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</si>
  <si>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</si>
  <si>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</si>
  <si>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</si>
  <si>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</si>
  <si>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</si>
  <si>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</si>
  <si>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</si>
  <si>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</si>
  <si>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</si>
  <si>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</si>
  <si>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</si>
  <si>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</si>
  <si>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</si>
  <si>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</si>
  <si>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</si>
  <si>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</si>
  <si>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</si>
  <si>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</si>
  <si>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</si>
  <si>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</si>
  <si>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</si>
  <si>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</si>
  <si>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</si>
  <si>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</si>
  <si>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</si>
  <si>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</si>
  <si>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</si>
  <si>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</si>
  <si>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</si>
  <si>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</si>
  <si>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</si>
  <si>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</si>
  <si>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</si>
  <si>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</si>
  <si>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</si>
  <si>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</si>
  <si>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</si>
  <si>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</si>
  <si>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</si>
  <si>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</si>
  <si>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</si>
  <si>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</si>
  <si>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</si>
  <si>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</si>
  <si>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</si>
  <si>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</si>
  <si>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</si>
  <si>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</si>
  <si>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</si>
  <si>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</si>
  <si>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</si>
  <si>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</si>
  <si>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</si>
  <si>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</si>
  <si>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</si>
  <si>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</si>
  <si>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</si>
  <si>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</si>
  <si>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</si>
  <si>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</si>
  <si>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</si>
  <si>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</si>
  <si>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</si>
  <si>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</si>
  <si>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</si>
  <si>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</si>
  <si>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</si>
  <si>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</si>
  <si>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</si>
  <si>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</si>
  <si>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</si>
  <si>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</si>
  <si>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</si>
  <si>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</si>
  <si>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</si>
  <si>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</si>
  <si>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</si>
  <si>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</si>
  <si>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</si>
  <si>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</si>
  <si>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</si>
  <si>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</si>
  <si>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</si>
  <si>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</si>
  <si>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</si>
  <si>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</si>
  <si>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</si>
  <si>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</si>
  <si>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</si>
  <si>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</si>
  <si>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</si>
  <si>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</si>
  <si>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</si>
  <si>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</si>
  <si>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</si>
  <si>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</si>
  <si>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</si>
  <si>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</si>
  <si>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</si>
  <si>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</si>
  <si>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</si>
  <si>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</si>
  <si>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</si>
  <si>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</si>
  <si>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</si>
  <si>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</si>
  <si>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</si>
  <si>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</si>
  <si>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</si>
  <si>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</si>
  <si>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</si>
  <si>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</si>
  <si>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</si>
  <si>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</si>
  <si>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</si>
  <si>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</si>
  <si>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</si>
  <si>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</si>
  <si>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</si>
  <si>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</si>
  <si>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</si>
  <si>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</si>
  <si>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</si>
  <si>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</si>
  <si>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</si>
  <si>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</si>
  <si>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</si>
  <si>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</si>
  <si>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</si>
  <si>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</si>
  <si>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</si>
  <si>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</si>
  <si>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</si>
  <si>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</si>
  <si>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</si>
  <si>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</si>
  <si>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</si>
  <si>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</si>
  <si>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</si>
  <si>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</si>
  <si>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</si>
  <si>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</si>
  <si>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</si>
  <si>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</si>
  <si>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</si>
  <si>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</si>
  <si>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</si>
  <si>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</si>
  <si>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</si>
  <si>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</si>
  <si>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</si>
  <si>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</si>
  <si>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</si>
  <si>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</si>
  <si>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</si>
  <si>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</si>
  <si>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</si>
  <si>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</si>
  <si>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</si>
  <si>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</si>
  <si>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</si>
  <si>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</si>
  <si>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</si>
  <si>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</si>
  <si>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</si>
  <si>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</si>
  <si>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</si>
  <si>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</si>
  <si>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</si>
  <si>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</si>
  <si>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</si>
  <si>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</si>
  <si>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</si>
  <si>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</si>
  <si>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</si>
  <si>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</si>
  <si>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</si>
  <si>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</si>
  <si>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</si>
  <si>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</si>
  <si>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</si>
  <si>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</si>
  <si>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</si>
  <si>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</si>
  <si>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</si>
  <si>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</si>
  <si>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</si>
  <si>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</si>
  <si>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</si>
  <si>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</si>
  <si>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</si>
  <si>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</si>
  <si>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</si>
  <si>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</si>
  <si>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</si>
  <si>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</si>
  <si>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</si>
  <si>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</si>
  <si>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</si>
  <si>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</si>
  <si>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</si>
  <si>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</si>
  <si>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</si>
  <si>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</si>
  <si>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</si>
  <si>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</si>
  <si>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</si>
  <si>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</si>
  <si>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</si>
  <si>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</si>
  <si>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</si>
  <si>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</si>
  <si>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</si>
  <si>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</si>
  <si>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</si>
  <si>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</si>
  <si>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</si>
  <si>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</si>
  <si>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</si>
  <si>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</si>
  <si>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</si>
  <si>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</si>
  <si>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</si>
  <si>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</si>
  <si>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</si>
  <si>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</si>
  <si>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</si>
  <si>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</si>
  <si>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</si>
  <si>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</si>
  <si>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</si>
  <si>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</si>
  <si>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</si>
  <si>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</si>
  <si>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</si>
  <si>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</si>
  <si>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</si>
  <si>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</si>
  <si>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</si>
  <si>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</si>
  <si>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</si>
  <si>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</si>
  <si>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</si>
  <si>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</si>
  <si>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</si>
  <si>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</si>
  <si>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</si>
  <si>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</si>
  <si>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</si>
  <si>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</si>
  <si>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</si>
  <si>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</si>
  <si>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</si>
  <si>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</si>
  <si>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</si>
  <si>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</si>
  <si>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</si>
  <si>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</si>
  <si>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</si>
  <si>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</si>
  <si>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</si>
  <si>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</si>
  <si>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</si>
  <si>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</si>
  <si>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</si>
  <si>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</si>
  <si>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</si>
  <si>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</si>
  <si>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</si>
  <si>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</si>
  <si>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</si>
  <si>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</si>
  <si>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</si>
  <si>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</si>
  <si>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</si>
  <si>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7" type="noConversion"/>
  </si>
  <si>
    <t>admin@xlworks.net</t>
    <phoneticPr fontId="7"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</si>
  <si>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</si>
  <si>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</si>
  <si>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</si>
  <si>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</si>
  <si>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</si>
  <si>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</si>
  <si>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</si>
  <si>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</si>
  <si>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</si>
  <si>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</si>
  <si>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</si>
  <si>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</si>
  <si>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</si>
  <si>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</si>
  <si>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</si>
  <si>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</si>
  <si>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</si>
  <si>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</si>
  <si>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</si>
  <si>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</si>
  <si>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</si>
  <si>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</si>
  <si>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</si>
  <si>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</si>
  <si>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</si>
  <si>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</si>
  <si>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</si>
  <si>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</si>
  <si>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</si>
  <si>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</si>
  <si>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</si>
  <si>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</si>
  <si>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</si>
  <si>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</si>
  <si>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</si>
  <si>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</si>
  <si>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</si>
  <si>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</si>
  <si>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</si>
  <si>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</si>
  <si>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</si>
  <si>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</si>
  <si>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</si>
  <si>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</si>
  <si>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</si>
  <si>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</si>
  <si>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</si>
  <si>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</si>
  <si>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</si>
  <si>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</si>
  <si>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</si>
  <si>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</si>
  <si>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</si>
  <si>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</si>
  <si>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</si>
  <si>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</si>
  <si>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</si>
  <si>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</si>
  <si>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</si>
  <si>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</si>
  <si>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</si>
  <si>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</si>
  <si>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</si>
  <si>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</si>
  <si>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</si>
  <si>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</si>
  <si>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</si>
  <si>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</si>
  <si>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</si>
  <si>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</si>
  <si>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</si>
  <si>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</si>
  <si>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</si>
  <si>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</si>
  <si>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</si>
  <si>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</si>
  <si>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</si>
  <si>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</si>
  <si>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</si>
  <si>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</si>
  <si>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</si>
  <si>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</si>
  <si>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</si>
  <si>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</si>
  <si>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</si>
  <si>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</si>
  <si>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</si>
  <si>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</si>
  <si>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</si>
  <si>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</si>
  <si>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</si>
  <si>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</si>
  <si>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</si>
  <si>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</si>
  <si>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</si>
  <si>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</si>
  <si>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</si>
  <si>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</si>
  <si>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</si>
  <si>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</si>
  <si>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</si>
  <si>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</si>
  <si>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</si>
  <si>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</si>
  <si>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</si>
  <si>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</si>
  <si>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7"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</si>
  <si>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</si>
  <si>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</si>
  <si>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</si>
  <si>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</si>
  <si>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</si>
  <si>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7" type="noConversion"/>
  </si>
  <si>
    <t>Saturdays, Sundays and the dates entered in the Calendar sheet_x000D_</t>
    <phoneticPr fontId="2" type="noConversion"/>
  </si>
  <si>
    <t>Actual__Total Work</t>
    <phoneticPr fontId="7" type="noConversion"/>
  </si>
  <si>
    <t>Reserved</t>
    <phoneticPr fontId="7" type="noConversion"/>
  </si>
  <si>
    <t>Text Index</t>
    <phoneticPr fontId="7" type="noConversion"/>
  </si>
  <si>
    <t>Description</t>
    <phoneticPr fontId="7"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</si>
  <si>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</si>
  <si>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</si>
  <si>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</si>
  <si>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</si>
  <si>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</si>
  <si>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for import columun</t>
    <phoneticPr fontId="7" type="noConversion"/>
  </si>
  <si>
    <t>%Work__Complete</t>
    <phoneticPr fontId="7" type="noConversion"/>
  </si>
  <si>
    <t>manual input</t>
    <phoneticPr fontId="2" type="noConversion"/>
  </si>
  <si>
    <t>Actual</t>
    <phoneticPr fontId="2" type="noConversion"/>
  </si>
  <si>
    <t>실적</t>
    <phoneticPr fontId="2" type="noConversion"/>
  </si>
  <si>
    <t>Actual Total__Duration</t>
    <phoneticPr fontId="7" type="noConversion"/>
  </si>
  <si>
    <t>for import columun</t>
    <phoneticPr fontId="7" type="noConversion"/>
  </si>
  <si>
    <t>Actual__Finish</t>
    <phoneticPr fontId="7" type="noConversion"/>
  </si>
  <si>
    <t>Actual__Start</t>
    <phoneticPr fontId="7" type="noConversion"/>
  </si>
  <si>
    <t>Actual__Total Duration</t>
    <phoneticPr fontId="7"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</si>
  <si>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</si>
  <si>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</si>
  <si>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</si>
  <si>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</si>
  <si>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7" type="noConversion"/>
  </si>
  <si>
    <t>Planned__Duration</t>
    <phoneticPr fontId="7" type="noConversion"/>
  </si>
  <si>
    <t>Planned__Work</t>
    <phoneticPr fontId="7"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</si>
  <si>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</si>
  <si>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</si>
  <si>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7" type="noConversion"/>
  </si>
  <si>
    <t>Total__Work</t>
    <phoneticPr fontId="7" type="noConversion"/>
  </si>
  <si>
    <t>Would you like to update the schedule before saving?</t>
    <phoneticPr fontId="7" type="noConversion"/>
  </si>
  <si>
    <t>Name:groupRows</t>
  </si>
  <si>
    <t>Group rows</t>
    <phoneticPr fontId="2" type="noConversion"/>
  </si>
  <si>
    <t>C:\Temp</t>
    <phoneticPr fontId="7" type="noConversion"/>
  </si>
  <si>
    <t>Display font color to the gray for the completed tasks</t>
    <phoneticPr fontId="2" type="noConversion"/>
  </si>
  <si>
    <t>비고</t>
  </si>
  <si>
    <t>가중치</t>
  </si>
  <si>
    <t>담당</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</si>
  <si>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</si>
  <si>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</si>
  <si>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</si>
  <si>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</si>
  <si>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</si>
  <si>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</si>
  <si>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</si>
  <si>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30" type="noConversion"/>
  </si>
  <si>
    <t>사용법</t>
    <phoneticPr fontId="30" type="noConversion"/>
  </si>
  <si>
    <t>시트 구성</t>
    <phoneticPr fontId="30" type="noConversion"/>
  </si>
  <si>
    <t>작업과 일정을 입력하면 진척율이 계산되며 작업의 일정을 간트차트로 표시해 준다.</t>
    <phoneticPr fontId="2" type="noConversion"/>
  </si>
  <si>
    <t>작업입력, 스케줄 업데이트</t>
    <phoneticPr fontId="2" type="noConversion"/>
  </si>
  <si>
    <t>간단 사용법</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</si>
  <si>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</si>
  <si>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</si>
  <si>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(숨겨진 시트) 언어별 번역이 들어 있다.</t>
    <phoneticPr fontId="2" type="noConversion"/>
  </si>
  <si>
    <t>Gantt Chart Zoom Ratio(Max 999%)</t>
    <phoneticPr fontId="2" type="noConversion"/>
  </si>
  <si>
    <t>Display date on timescale</t>
    <phoneticPr fontId="2" type="noConversion"/>
  </si>
  <si>
    <t>Name:dateDispOnTimescale</t>
  </si>
  <si>
    <t>간트차트 눈금에 날짜 표시</t>
    <phoneticPr fontId="2"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</si>
  <si>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</si>
  <si>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</si>
  <si>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</si>
  <si>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</si>
  <si>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</si>
  <si>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</si>
  <si>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doc*</t>
    <phoneticPr fontId="7" type="noConversion"/>
  </si>
  <si>
    <t>txt</t>
    <phoneticPr fontId="7" type="noConversion"/>
  </si>
  <si>
    <t>E</t>
    <phoneticPr fontId="2" type="noConversion"/>
  </si>
  <si>
    <t>시작일</t>
  </si>
  <si>
    <t>완료일</t>
  </si>
  <si>
    <t>[담당자미지정]</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</si>
  <si>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</si>
  <si>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</si>
  <si>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</si>
  <si>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</si>
  <si>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</si>
  <si>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</si>
  <si>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</si>
  <si>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간트차트 표시방법 설정</t>
    <phoneticPr fontId="2" type="noConversion"/>
  </si>
  <si>
    <t>프로젝트 전체 진행상황 파악하기</t>
    <phoneticPr fontId="2" type="noConversion"/>
  </si>
  <si>
    <t>분석 리포트</t>
    <phoneticPr fontId="2" type="noConversion"/>
  </si>
  <si>
    <t>일정계획 변경관리</t>
  </si>
  <si>
    <t>일정계획 변경관리</t>
    <phoneticPr fontId="2" type="noConversion"/>
  </si>
  <si>
    <t>산출물 관리</t>
    <phoneticPr fontId="2" type="noConversion"/>
  </si>
  <si>
    <t>Microsoft Outlook작업, 일정등록</t>
    <phoneticPr fontId="2" type="noConversion"/>
  </si>
  <si>
    <t>다국어 지원</t>
    <phoneticPr fontId="2" type="noConversion"/>
  </si>
  <si>
    <t>다른 파일에서 일정 가져오기</t>
    <phoneticPr fontId="2" type="noConversion"/>
  </si>
  <si>
    <t>Excel기능과 통합</t>
    <phoneticPr fontId="2" type="noConversion"/>
  </si>
  <si>
    <t>Calendar관리</t>
    <phoneticPr fontId="2" type="noConversion"/>
  </si>
  <si>
    <t>작업</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</si>
  <si>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</si>
  <si>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</si>
  <si>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</si>
  <si>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</si>
  <si>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</si>
  <si>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</si>
  <si>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</si>
  <si>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</si>
  <si>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</si>
  <si>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</si>
  <si>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</si>
  <si>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</si>
  <si>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</si>
  <si>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</si>
  <si>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</si>
  <si>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</si>
  <si>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</si>
  <si>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</si>
  <si>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</si>
  <si>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</si>
  <si>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</si>
  <si>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</si>
  <si>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</si>
  <si>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</si>
  <si>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</si>
  <si>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</si>
  <si>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</si>
  <si>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</si>
  <si>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</si>
  <si>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</si>
  <si>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</si>
  <si>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</si>
  <si>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</si>
  <si>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</si>
  <si>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</si>
  <si>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</si>
  <si>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</si>
  <si>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</si>
  <si>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</si>
  <si>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</si>
  <si>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</si>
  <si>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</si>
  <si>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</si>
  <si>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</si>
  <si>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</si>
  <si>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</si>
  <si>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</si>
  <si>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</si>
  <si>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</si>
  <si>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</si>
  <si>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</si>
  <si>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</si>
  <si>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</si>
  <si>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</si>
  <si>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</si>
  <si>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</si>
  <si>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</si>
  <si>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</si>
  <si>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</si>
  <si>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</si>
  <si>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</si>
  <si>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7" type="noConversion"/>
  </si>
  <si>
    <t>실제\n총기간</t>
  </si>
  <si>
    <t>실제 총작업량\n(총ManDay,_x000D_가중치 감안)</t>
    <phoneticPr fontId="7" type="noConversion"/>
  </si>
  <si>
    <t>실제__완료일</t>
    <phoneticPr fontId="7" type="noConversion"/>
  </si>
  <si>
    <t>실제__시작일</t>
    <phoneticPr fontId="7" type="noConversion"/>
  </si>
  <si>
    <t>실제__총기간</t>
    <phoneticPr fontId="7" type="noConversion"/>
  </si>
  <si>
    <t>실제__총작업량</t>
    <phoneticPr fontId="7"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</si>
  <si>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</si>
  <si>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</si>
  <si>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</si>
  <si>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</si>
  <si>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</si>
  <si>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</si>
  <si>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</si>
  <si>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</si>
  <si>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</si>
  <si>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</si>
  <si>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</si>
  <si>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</si>
  <si>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</si>
  <si>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</si>
  <si>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</si>
  <si>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</si>
  <si>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</si>
  <si>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</si>
  <si>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</si>
  <si>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</si>
  <si>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</si>
  <si>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</si>
  <si>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</si>
  <si>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</si>
  <si>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</si>
  <si>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</si>
  <si>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</si>
  <si>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</si>
  <si>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</si>
  <si>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</si>
  <si>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</si>
  <si>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</si>
  <si>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</si>
  <si>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</si>
  <si>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</si>
  <si>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</si>
  <si>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</si>
  <si>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</si>
  <si>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</si>
  <si>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</si>
  <si>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</si>
  <si>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</si>
  <si>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</si>
  <si>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</si>
  <si>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</si>
  <si>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</si>
  <si>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</si>
  <si>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</si>
  <si>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</si>
  <si>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</si>
  <si>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</si>
  <si>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</si>
  <si>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</si>
  <si>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</si>
  <si>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</si>
  <si>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</si>
  <si>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</si>
  <si>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</si>
  <si>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</si>
  <si>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</si>
  <si>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</si>
  <si>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</si>
  <si>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</si>
  <si>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</si>
  <si>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</si>
  <si>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</si>
  <si>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</si>
  <si>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</si>
  <si>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</si>
  <si>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</si>
  <si>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</si>
  <si>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</si>
  <si>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</si>
  <si>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</si>
  <si>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</si>
  <si>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</si>
  <si>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</si>
  <si>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</si>
  <si>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</si>
  <si>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</si>
  <si>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</si>
  <si>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</si>
  <si>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</si>
  <si>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</si>
  <si>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</si>
  <si>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</si>
  <si>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</si>
  <si>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</si>
  <si>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</si>
  <si>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</si>
  <si>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</si>
  <si>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</si>
  <si>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</si>
  <si>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</si>
  <si>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</si>
  <si>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</si>
  <si>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</si>
  <si>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</si>
  <si>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</si>
  <si>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</si>
  <si>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</si>
  <si>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</si>
  <si>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</si>
  <si>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</si>
  <si>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</si>
  <si>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</si>
  <si>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</si>
  <si>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</si>
  <si>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</si>
  <si>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</si>
  <si>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</si>
  <si>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</si>
  <si>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</si>
  <si>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</si>
  <si>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</si>
  <si>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</si>
  <si>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</si>
  <si>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</si>
  <si>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</si>
  <si>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</si>
  <si>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</si>
  <si>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</si>
  <si>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</si>
  <si>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</si>
  <si>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</si>
  <si>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</si>
  <si>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</si>
  <si>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</si>
  <si>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</si>
  <si>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</si>
  <si>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</si>
  <si>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</si>
  <si>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</si>
  <si>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</si>
  <si>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</si>
  <si>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</si>
  <si>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</si>
  <si>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</si>
  <si>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</si>
  <si>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</si>
  <si>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</si>
  <si>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</si>
  <si>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7" type="noConversion"/>
  </si>
  <si>
    <t>계획__작업량</t>
    <phoneticPr fontId="7"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</si>
  <si>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</si>
  <si>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</si>
  <si>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</si>
  <si>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</si>
  <si>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</si>
  <si>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</si>
  <si>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</si>
  <si>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</si>
  <si>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</si>
  <si>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</si>
  <si>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</si>
  <si>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</si>
  <si>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</si>
  <si>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</si>
  <si>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</si>
  <si>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</si>
  <si>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</si>
  <si>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</si>
  <si>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</si>
  <si>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</si>
  <si>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</si>
  <si>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</si>
  <si>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</si>
  <si>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</si>
  <si>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</si>
  <si>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</si>
  <si>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</si>
  <si>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</si>
  <si>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</si>
  <si>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</si>
  <si>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</si>
  <si>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</si>
  <si>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</si>
  <si>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</si>
  <si>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별(*)표시는 필수입력, 주황색열은 자동계산</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</si>
  <si>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</si>
  <si>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</si>
  <si>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</si>
  <si>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</si>
  <si>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</si>
  <si>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</si>
  <si>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</si>
  <si>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</si>
  <si>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</si>
  <si>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</si>
  <si>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</si>
  <si>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</si>
  <si>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</si>
  <si>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</si>
  <si>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</si>
  <si>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</si>
  <si>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</si>
  <si>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</si>
  <si>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</si>
  <si>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</si>
  <si>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</si>
  <si>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</si>
  <si>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</si>
  <si>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</si>
  <si>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</si>
  <si>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</si>
  <si>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</si>
  <si>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</si>
  <si>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</si>
  <si>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</si>
  <si>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</si>
  <si>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</si>
  <si>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</si>
  <si>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</si>
  <si>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</si>
  <si>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</si>
  <si>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</si>
  <si>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</si>
  <si>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</si>
  <si>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</si>
  <si>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</si>
  <si>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</si>
  <si>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</si>
  <si>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</si>
  <si>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</si>
  <si>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</si>
  <si>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</si>
  <si>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</si>
  <si>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</si>
  <si>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</si>
  <si>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</si>
  <si>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</si>
  <si>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</si>
  <si>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7"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</si>
  <si>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</si>
  <si>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</si>
  <si>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</si>
  <si>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</si>
  <si>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</si>
  <si>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</si>
  <si>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</si>
  <si>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</si>
  <si>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</si>
  <si>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</si>
  <si>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</si>
  <si>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</si>
  <si>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</si>
  <si>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</si>
  <si>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</si>
  <si>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</si>
  <si>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</si>
  <si>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</si>
  <si>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</si>
  <si>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</si>
  <si>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</si>
  <si>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</si>
  <si>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</si>
  <si>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</si>
  <si>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</si>
  <si>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</si>
  <si>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</si>
  <si>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</si>
  <si>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</si>
  <si>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</si>
  <si>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</si>
  <si>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</si>
  <si>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</si>
  <si>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</si>
  <si>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</si>
  <si>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</si>
  <si>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7" type="noConversion"/>
  </si>
  <si>
    <t>총__작업량</t>
    <phoneticPr fontId="7"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</si>
  <si>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</si>
  <si>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</si>
  <si>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</si>
  <si>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</si>
  <si>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</si>
  <si>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</si>
  <si>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</si>
  <si>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</si>
  <si>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</si>
  <si>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</si>
  <si>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</si>
  <si>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</si>
  <si>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</si>
  <si>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</si>
  <si>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</si>
  <si>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</si>
  <si>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</si>
  <si>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</si>
  <si>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</si>
  <si>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</si>
  <si>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</si>
  <si>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</si>
  <si>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</si>
  <si>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7"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</si>
  <si>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</si>
  <si>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</si>
  <si>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</si>
  <si>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</si>
  <si>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</si>
  <si>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</si>
  <si>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</si>
  <si>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</si>
  <si>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</si>
  <si>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</si>
  <si>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</si>
  <si>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</si>
  <si>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</si>
  <si>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</si>
  <si>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</si>
  <si>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</si>
  <si>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</si>
  <si>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</si>
  <si>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</si>
  <si>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</si>
  <si>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</si>
  <si>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</si>
  <si>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</si>
  <si>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</si>
  <si>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</si>
  <si>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</si>
  <si>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</si>
  <si>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</si>
  <si>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</si>
  <si>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</si>
  <si>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</si>
  <si>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</si>
  <si>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</si>
  <si>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</si>
  <si>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</si>
  <si>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</si>
  <si>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</si>
  <si>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</si>
  <si>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</si>
  <si>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</si>
  <si>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</si>
  <si>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</si>
  <si>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</si>
  <si>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</si>
  <si>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설계</t>
  </si>
  <si>
    <t>wbs_level</t>
  </si>
  <si>
    <t>xlgantt_reserved</t>
  </si>
  <si>
    <t>xlgantt_task_connection</t>
  </si>
  <si>
    <t>xlgantt_task_id</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</si>
  <si>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</si>
  <si>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</si>
  <si>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</si>
  <si>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</si>
  <si>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</si>
  <si>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</si>
  <si>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</si>
  <si>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</si>
  <si>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</si>
  <si>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</si>
  <si>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</si>
  <si>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</si>
  <si>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</si>
  <si>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</si>
  <si>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</si>
  <si>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</si>
  <si>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</si>
  <si>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</si>
  <si>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</si>
  <si>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</si>
  <si>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</si>
  <si>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</si>
  <si>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</si>
  <si>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</si>
  <si>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</si>
  <si>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</si>
  <si>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XYZ시스템 구축</t>
    <phoneticPr fontId="2"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</si>
  <si>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</si>
  <si>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</si>
  <si>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</si>
  <si>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</si>
  <si>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</si>
  <si>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</si>
  <si>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</si>
  <si>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</si>
  <si>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</si>
  <si>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</si>
  <si>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</si>
  <si>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</si>
  <si>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</si>
  <si>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</si>
  <si>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</si>
  <si>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</si>
  <si>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</si>
  <si>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</si>
  <si>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</si>
  <si>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</si>
  <si>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</si>
  <si>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</si>
  <si>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</si>
  <si>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</si>
  <si>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</si>
  <si>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</si>
  <si>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</si>
  <si>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</si>
  <si>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</si>
  <si>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</si>
  <si>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</si>
  <si>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</si>
  <si>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</si>
  <si>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</si>
  <si>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</si>
  <si>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</si>
  <si>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</si>
  <si>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</si>
  <si>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</si>
  <si>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</si>
  <si>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</si>
  <si>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</si>
  <si>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</si>
  <si>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</si>
  <si>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</si>
  <si>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</si>
  <si>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</si>
  <si>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</si>
  <si>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</si>
  <si>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</si>
  <si>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</si>
  <si>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</si>
  <si>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</si>
  <si>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</si>
  <si>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</si>
  <si>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</si>
  <si>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</si>
  <si>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</si>
  <si>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</si>
  <si>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</si>
  <si>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</si>
  <si>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</si>
  <si>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</si>
  <si>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</si>
  <si>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</si>
  <si>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</si>
  <si>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</si>
  <si>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 프로젝트 작업량과 진척율을 보여줍니다.</t>
    <phoneticPr fontId="7" type="noConversion"/>
  </si>
  <si>
    <t>* "스케줄업데이트" 버튼 클릭 시 아래 항목이 자동계산됩니다.</t>
    <phoneticPr fontId="7" type="noConversion"/>
  </si>
  <si>
    <t>프로젝트 전체 작업량</t>
    <phoneticPr fontId="7" type="noConversion"/>
  </si>
  <si>
    <t>프로젝트 전체의 작업량을 Man/Day로 표시한다. 가중치를 적용한 값이다.</t>
    <phoneticPr fontId="7" type="noConversion"/>
  </si>
  <si>
    <t>현재일까지 계획된 작업량</t>
    <phoneticPr fontId="7" type="noConversion"/>
  </si>
  <si>
    <t>해당작업의 시작일부터 현재일까지의 작업기간을 의미함(현재 날짜까지 진행되었어야 할 기간)</t>
    <phoneticPr fontId="7" type="noConversion"/>
  </si>
  <si>
    <t>일정변경 관리할 때 현재까지 실제로 투입된 작업기간을 표시함</t>
    <phoneticPr fontId="7" type="noConversion"/>
  </si>
  <si>
    <t>계획 진척율(A)</t>
    <phoneticPr fontId="7" type="noConversion"/>
  </si>
  <si>
    <t>현재날짜까지 계획된 진척율, WBS의 "계획진척율"의 전체 합계 진척율을 표시함</t>
    <phoneticPr fontId="7" type="noConversion"/>
  </si>
  <si>
    <t>실적 진척율(B)</t>
    <phoneticPr fontId="7" type="noConversion"/>
  </si>
  <si>
    <t>현재날짜까지 실제로 진행된 진척율, WBS의 "실적진척율"의 전체 합계 진척율을 표시함</t>
    <phoneticPr fontId="7" type="noConversion"/>
  </si>
  <si>
    <t>차이(B-A)</t>
    <phoneticPr fontId="7" type="noConversion"/>
  </si>
  <si>
    <t>양수이면 계획보다 빨리 진행, 음수이면 지연</t>
    <phoneticPr fontId="7" type="noConversion"/>
  </si>
  <si>
    <t xml:space="preserve"> 프로젝트 휴무일 Calendar 설정</t>
    <phoneticPr fontId="7"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</si>
  <si>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7" type="noConversion"/>
  </si>
  <si>
    <t>표준캘린더</t>
    <phoneticPr fontId="7" type="noConversion"/>
  </si>
  <si>
    <t>사용자정의 캘린더1</t>
    <phoneticPr fontId="7" type="noConversion"/>
  </si>
  <si>
    <t>사용자정의 캘린더2</t>
    <phoneticPr fontId="7" type="noConversion"/>
  </si>
  <si>
    <t>휴무일명</t>
    <phoneticPr fontId="7" type="noConversion"/>
  </si>
  <si>
    <t>휴무일자</t>
    <phoneticPr fontId="7" type="noConversion"/>
  </si>
  <si>
    <t>더 이상 입력불가</t>
    <phoneticPr fontId="7" type="noConversion"/>
  </si>
  <si>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</si>
  <si>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</si>
  <si>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</si>
  <si>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</si>
  <si>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</si>
  <si>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</si>
  <si>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</si>
  <si>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</si>
  <si>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</si>
  <si>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</si>
  <si>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</si>
  <si>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</si>
  <si>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</si>
  <si>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</si>
  <si>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</si>
  <si>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</si>
  <si>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</si>
  <si>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</si>
  <si>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</si>
  <si>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</si>
  <si>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</si>
  <si>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</si>
  <si>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</si>
  <si>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</si>
  <si>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</si>
  <si>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</si>
  <si>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</si>
  <si>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</si>
  <si>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</si>
  <si>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</si>
  <si>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</si>
  <si>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도움말</t>
  </si>
  <si>
    <t>도움말</t>
    <phoneticPr fontId="2" type="noConversion"/>
  </si>
  <si>
    <t>Bar chart형태로 간트차트를 보여주고 있으며 여러 가지 표시방법을 옵션에서 설정할 수 있다.</t>
    <phoneticPr fontId="2" type="noConversion"/>
  </si>
  <si>
    <t>프로젝트의 현황을 파악할 수 있는 진행율, Workload 등의 분석 리포트와 분석용 Workload data를 제공한다.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</si>
  <si>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</si>
  <si>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</si>
  <si>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</si>
  <si>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</si>
  <si>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</si>
  <si>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</si>
  <si>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</si>
  <si>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Server Data 가져오기</t>
    <phoneticPr fontId="2" type="noConversion"/>
  </si>
  <si>
    <t>진척율을 이용하여 프로젝트 전체 진행상황을 파악할 수 있다.</t>
    <phoneticPr fontId="2" type="noConversion"/>
  </si>
  <si>
    <t>한주의 시작요일 지정, 휴무일 설정, 주차표시 기능을 제공한다.
리본메뉴 &gt; XLGantt – Project Scheduler &gt; 옵션 &gt; “Calendar” 탭에서 설정할 수 있다.</t>
    <phoneticPr fontId="2" type="noConversion"/>
  </si>
  <si>
    <t xml:space="preserve">        엑셀간트(XLGantt) - 엑셀 일정관리</t>
    <phoneticPr fontId="30" type="noConversion"/>
  </si>
  <si>
    <t xml:space="preserve">도움말, 최신 버전 다운로드 https://xlworks.net </t>
    <phoneticPr fontId="2" type="noConversion"/>
  </si>
  <si>
    <t>5</t>
  </si>
  <si>
    <t>6</t>
  </si>
  <si>
    <t>7</t>
  </si>
  <si>
    <t>8</t>
  </si>
  <si>
    <t>9</t>
  </si>
  <si>
    <t>10</t>
  </si>
  <si>
    <t>11</t>
  </si>
  <si>
    <t>12</t>
  </si>
  <si>
    <t>13</t>
  </si>
  <si>
    <t>14</t>
  </si>
  <si>
    <t>15</t>
  </si>
  <si>
    <t>16</t>
  </si>
  <si>
    <t>Project X</t>
  </si>
  <si>
    <t>범위정의</t>
  </si>
  <si>
    <t>범위확정</t>
  </si>
  <si>
    <t>Benchmarking</t>
  </si>
  <si>
    <t>Workshop</t>
  </si>
  <si>
    <t>데이터베이스 설계</t>
  </si>
  <si>
    <t>UI설계</t>
  </si>
  <si>
    <t>개발</t>
  </si>
  <si>
    <t>코딩</t>
  </si>
  <si>
    <t>단위테스트</t>
  </si>
  <si>
    <t>테스트</t>
  </si>
  <si>
    <t>통합테스트</t>
  </si>
  <si>
    <t>시스템테스트</t>
  </si>
  <si>
    <t>1.1.3</t>
  </si>
  <si>
    <t>1.1.4</t>
  </si>
  <si>
    <t>1.2.2</t>
  </si>
  <si>
    <t>1.3.2</t>
  </si>
  <si>
    <t>1.4</t>
  </si>
  <si>
    <t>1.4.1</t>
  </si>
  <si>
    <t>1.4.2</t>
  </si>
  <si>
    <t>1.4.3</t>
  </si>
  <si>
    <t>이지은,김분석</t>
    <phoneticPr fontId="2" type="noConversion"/>
  </si>
  <si>
    <t>이지은</t>
    <phoneticPr fontId="2" type="noConversion"/>
  </si>
  <si>
    <t>박설계</t>
    <phoneticPr fontId="2" type="noConversion"/>
  </si>
  <si>
    <t>나개발</t>
    <phoneticPr fontId="2" type="noConversion"/>
  </si>
  <si>
    <t>김분석,이지은</t>
    <phoneticPr fontId="2" type="noConversion"/>
  </si>
  <si>
    <t>홍길동</t>
    <phoneticPr fontId="2" type="noConversion"/>
  </si>
  <si>
    <t>나고객,이고객</t>
    <phoneticPr fontId="2" type="noConversion"/>
  </si>
  <si>
    <t>UAT</t>
    <phoneticPr fontId="2" type="noConversion"/>
  </si>
  <si>
    <t>범위확정시 주요화면 준비</t>
    <phoneticPr fontId="2" type="noConversion"/>
  </si>
  <si>
    <t>성능테스트Tool필요</t>
    <phoneticPr fontId="2" type="noConversion"/>
  </si>
  <si>
    <t>__확인사항</t>
    <phoneticPr fontId="2" type="noConversion"/>
  </si>
  <si>
    <t>3.0.0</t>
    <phoneticPr fontId="2" type="noConversion"/>
  </si>
  <si>
    <t xml:space="preserve">  XLGantt 3.0.0 ©XLWorks</t>
  </si>
  <si>
    <t>Total</t>
  </si>
  <si>
    <t>2020년 신정</t>
  </si>
  <si>
    <t>2020년 설연휴</t>
  </si>
  <si>
    <t>2019년 신정</t>
    <phoneticPr fontId="2" type="noConversion"/>
  </si>
  <si>
    <t>2019년 설연휴</t>
    <phoneticPr fontId="2" type="noConversion"/>
  </si>
  <si>
    <t>2019년 설날</t>
    <phoneticPr fontId="2" type="noConversion"/>
  </si>
  <si>
    <t>2019년 삼일절</t>
  </si>
  <si>
    <t>2019년 어린이날 대체휴일</t>
  </si>
  <si>
    <t>2019년 현충일</t>
  </si>
  <si>
    <t>2019년 광복절</t>
  </si>
  <si>
    <t>2019년 추석연휴</t>
  </si>
  <si>
    <t>2019년 추석</t>
    <phoneticPr fontId="2" type="noConversion"/>
  </si>
  <si>
    <t>2019년 개천절</t>
  </si>
  <si>
    <t>2019년 한글날</t>
  </si>
  <si>
    <t>2019년 성탄절</t>
  </si>
  <si>
    <t>2020년 설날 대체휴일</t>
    <phoneticPr fontId="2" type="noConversion"/>
  </si>
  <si>
    <t>21대 국회위원 선거일</t>
    <phoneticPr fontId="2" type="noConversion"/>
  </si>
  <si>
    <t>2020년 부처님오신날</t>
    <phoneticPr fontId="2" type="noConversion"/>
  </si>
  <si>
    <t>2020년 어린이날</t>
    <phoneticPr fontId="2" type="noConversion"/>
  </si>
  <si>
    <t xml:space="preserve">XLGantt 3.0.0 ⓒXLWorks </t>
    <phoneticPr fontId="7" type="noConversion"/>
  </si>
  <si>
    <t>2020년 추석연휴</t>
    <phoneticPr fontId="2" type="noConversion"/>
  </si>
  <si>
    <t>2020년 추석</t>
    <phoneticPr fontId="2" type="noConversion"/>
  </si>
  <si>
    <t>2020년 한글날</t>
    <phoneticPr fontId="2" type="noConversion"/>
  </si>
  <si>
    <t>2020년 성탄절</t>
    <phoneticPr fontId="2" type="noConversion"/>
  </si>
  <si>
    <t>Earned value on planned schedule(Total Duration x %Work Complete)</t>
    <phoneticPr fontId="2" type="noConversion"/>
  </si>
  <si>
    <t>실적기성(총기간 x 총실적진행율)</t>
    <phoneticPr fontId="2" type="noConversion"/>
  </si>
  <si>
    <t>실제 투입된 작업량</t>
    <phoneticPr fontId="2" type="noConversion"/>
  </si>
  <si>
    <t>실제 투입된 작업량</t>
    <phoneticPr fontId="7" type="noConversion"/>
  </si>
  <si>
    <t>이지은</t>
  </si>
  <si>
    <t>박설계</t>
  </si>
  <si>
    <t>김분석</t>
  </si>
  <si>
    <t>나고객</t>
  </si>
  <si>
    <t>이고객</t>
  </si>
  <si>
    <t>계획작업량(Man-Day)</t>
  </si>
  <si>
    <t>계획작업량 누적(Man-Day)</t>
  </si>
  <si>
    <t>계획작업량 진척율</t>
  </si>
  <si>
    <t>실적기성(Man-Day)</t>
  </si>
  <si>
    <t>실적기성 누적(Man-Day)</t>
  </si>
  <si>
    <t>실적기성 진척율</t>
  </si>
  <si>
    <t>실제작업량(Man-Day)</t>
  </si>
  <si>
    <t>실제작업량 누적(Man-Day)</t>
  </si>
  <si>
    <t>실제작업량 진척율</t>
  </si>
  <si>
    <t>프로젝트 진척율(주별)</t>
  </si>
  <si>
    <t>* 주별로 프로젝트 진적율을 보여줍니다.</t>
  </si>
  <si>
    <t>* "진척율(주별)" 메뉴를 클릭해야 갱신됨</t>
  </si>
  <si>
    <t>파워포인트</t>
    <phoneticPr fontId="7" type="noConversion"/>
  </si>
  <si>
    <t>자동지정</t>
    <phoneticPr fontId="7" type="noConversion"/>
  </si>
  <si>
    <t>엑셀</t>
    <phoneticPr fontId="7" type="noConversion"/>
  </si>
  <si>
    <t>G</t>
  </si>
  <si>
    <t>1;3;4;0;1</t>
    <phoneticPr fontId="2" type="noConversion"/>
  </si>
  <si>
    <t>프로젝트 착수</t>
  </si>
  <si>
    <t>1.1.2.1</t>
  </si>
  <si>
    <t>프로젝트 계획 수립</t>
  </si>
  <si>
    <t>1.1.2.2</t>
  </si>
  <si>
    <t>착수보고(Kick off)</t>
  </si>
  <si>
    <t>월간보고1</t>
  </si>
  <si>
    <t>월간보고2</t>
  </si>
  <si>
    <t>1.2.3</t>
  </si>
  <si>
    <t>월간보고3</t>
  </si>
  <si>
    <t>1.2.4</t>
  </si>
  <si>
    <t>중간보고</t>
  </si>
  <si>
    <t>종료계획수립</t>
  </si>
  <si>
    <t>시스템 인수인계</t>
  </si>
  <si>
    <t>1.3.3</t>
  </si>
  <si>
    <t>종료보고</t>
  </si>
  <si>
    <t>1.3.4</t>
  </si>
  <si>
    <t>검수 및 종료</t>
  </si>
  <si>
    <t>2.1.1</t>
  </si>
  <si>
    <t>요구사항정의</t>
  </si>
  <si>
    <t>2.1.2</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</si>
  <si>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</si>
  <si>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</si>
  <si>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</si>
  <si>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</si>
  <si>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</si>
  <si>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</si>
  <si>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</si>
  <si>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</si>
  <si>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</si>
  <si>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</si>
  <si>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</si>
  <si>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</si>
  <si>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</si>
  <si>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</si>
  <si>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</si>
  <si>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</si>
  <si>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</si>
  <si>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</si>
  <si>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</si>
  <si>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</si>
  <si>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</si>
  <si>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</si>
  <si>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</si>
  <si>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</si>
  <si>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</si>
  <si>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</si>
  <si>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</si>
  <si>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</si>
  <si>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</si>
  <si>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</si>
  <si>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</si>
  <si>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</si>
  <si>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</si>
  <si>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</si>
  <si>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</si>
  <si>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</si>
  <si>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</si>
  <si>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</si>
  <si>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</si>
  <si>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</si>
  <si>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</si>
  <si>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</si>
  <si>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</si>
  <si>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</si>
  <si>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</si>
  <si>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</si>
  <si>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</si>
  <si>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</si>
  <si>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</si>
  <si>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2.1</t>
  </si>
  <si>
    <t>2.2</t>
  </si>
  <si>
    <t>2.3</t>
  </si>
  <si>
    <t>2.4</t>
  </si>
  <si>
    <t>{"TASK_FIRST_COL":"5","START_ROW":"5","WBS_AREA_LAST_COL":"31"}</t>
    <phoneticPr fontId="7"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</si>
  <si>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</si>
  <si>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</si>
  <si>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</si>
  <si>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</si>
  <si>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</si>
  <si>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</si>
  <si>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</si>
  <si>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</si>
  <si>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 xml:space="preserve">  주별보기, Zoom 100%, 계산 옵션 : 자동</t>
  </si>
  <si>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</si>
  <si>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</si>
  <si>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</si>
  <si>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</si>
  <si>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</si>
  <si>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XLGantt Version 3.0.0 사용조건</t>
    <phoneticPr fontId="2" type="noConversion"/>
  </si>
  <si>
    <t>Workload data를 주별/월별로 만들어 준다. 피벗 등의 기능으로 사용자가 원하는대로 분석을 할 수 있다.</t>
    <phoneticPr fontId="2" type="noConversion"/>
  </si>
  <si>
    <t>SCHEDULE_SHEET_POSITION:3545151617181920212223242526272829303132</t>
    <phoneticPr fontId="2" type="noConversion"/>
  </si>
  <si>
    <t>업무분석</t>
  </si>
  <si>
    <t>12/01
W49</t>
  </si>
  <si>
    <t>작업*</t>
    <phoneticPr fontId="7" type="noConversion"/>
  </si>
  <si>
    <t>비고</t>
    <phoneticPr fontId="7" type="noConversion"/>
  </si>
  <si>
    <t>시작일*</t>
    <phoneticPr fontId="7" type="noConversion"/>
  </si>
  <si>
    <t>계획_x000D_
작업량</t>
    <phoneticPr fontId="7" type="noConversion"/>
  </si>
  <si>
    <t>계획_x000D_
기간</t>
    <phoneticPr fontId="7" type="noConversion"/>
  </si>
  <si>
    <t>실제_x000D_
완료일</t>
    <phoneticPr fontId="7" type="noConversion"/>
  </si>
  <si>
    <t>가중치</t>
    <phoneticPr fontId="7" type="noConversion"/>
  </si>
  <si>
    <t>담당</t>
    <phoneticPr fontId="7" type="noConversion"/>
  </si>
  <si>
    <t>계획</t>
    <phoneticPr fontId="7" type="noConversion"/>
  </si>
  <si>
    <t>실적*</t>
    <phoneticPr fontId="7" type="noConversion"/>
  </si>
  <si>
    <t>실적기성</t>
    <phoneticPr fontId="7" type="noConversion"/>
  </si>
  <si>
    <t>실적기성(총기간 x 총실적진행율)</t>
    <phoneticPr fontId="7" type="noConversion"/>
  </si>
  <si>
    <t>봉찾사(봉사자를 찾는 사이트)</t>
    <phoneticPr fontId="2" type="noConversion"/>
  </si>
  <si>
    <t>TODAY</t>
    <phoneticPr fontId="2" type="noConversion"/>
  </si>
  <si>
    <t>DEFINED</t>
    <phoneticPr fontId="7" type="noConversion"/>
  </si>
  <si>
    <t>ppt*</t>
    <phoneticPr fontId="7" type="noConversion"/>
  </si>
  <si>
    <t>자동지정</t>
    <phoneticPr fontId="7" type="noConversion"/>
  </si>
  <si>
    <t>워드</t>
    <phoneticPr fontId="7" type="noConversion"/>
  </si>
  <si>
    <t>xls*</t>
    <phoneticPr fontId="7" type="noConversion"/>
  </si>
  <si>
    <t>AutoCAD</t>
    <phoneticPr fontId="7" type="noConversion"/>
  </si>
  <si>
    <t>dwg</t>
    <phoneticPr fontId="7" type="noConversion"/>
  </si>
  <si>
    <t>C:\Program Files\Autodesk\AutoCAD 2019\acad.exe</t>
    <phoneticPr fontId="7" type="noConversion"/>
  </si>
  <si>
    <t>Notepad++</t>
    <phoneticPr fontId="7" type="noConversion"/>
  </si>
  <si>
    <t>html</t>
    <phoneticPr fontId="7" type="noConversion"/>
  </si>
  <si>
    <t>C:\Program Files\Notepad++\notepad++.exe</t>
    <phoneticPr fontId="7" type="noConversion"/>
  </si>
  <si>
    <t>메모장</t>
    <phoneticPr fontId="7" type="noConversion"/>
  </si>
  <si>
    <t>C:\WINDOWS\system32\notepad.exe</t>
    <phoneticPr fontId="7" type="noConversion"/>
  </si>
  <si>
    <t>1:English,82:Korean</t>
    <phoneticPr fontId="2" type="noConversion"/>
  </si>
  <si>
    <t>reserved</t>
    <phoneticPr fontId="7" type="noConversion"/>
  </si>
  <si>
    <t>실제_x000D_
총기간</t>
    <phoneticPr fontId="7" type="noConversion"/>
  </si>
  <si>
    <t>프로젝트 진척율 - 일정변경 관리하지 않을때</t>
    <phoneticPr fontId="7" type="noConversion"/>
  </si>
  <si>
    <t>1주차 프로젝트 회의</t>
  </si>
  <si>
    <t>기획</t>
  </si>
  <si>
    <t>아이디어 회의</t>
  </si>
  <si>
    <t>벤치마킹</t>
  </si>
  <si>
    <t>안동규</t>
  </si>
  <si>
    <t>하동민</t>
  </si>
  <si>
    <t>안동규,하동민,권병준</t>
  </si>
  <si>
    <t>개발환경 구축</t>
  </si>
  <si>
    <t>2주차 프로젝트 회의</t>
  </si>
  <si>
    <t>요구사항 정의</t>
  </si>
  <si>
    <t>하동민,권병준</t>
  </si>
  <si>
    <t>DB설계</t>
  </si>
  <si>
    <t>R studio를 이용한 그래프 시각화</t>
  </si>
  <si>
    <t>Kakao pay를 활용한 후원하기 기능</t>
  </si>
  <si>
    <t>Kakao map을 이용한 지도 생성</t>
  </si>
  <si>
    <t>추가 개발사항</t>
  </si>
  <si>
    <t>페이지별 접근제어 설정</t>
  </si>
  <si>
    <t>2.3.3</t>
  </si>
  <si>
    <t>권병준</t>
  </si>
  <si>
    <t>3주차 프로젝트 회의</t>
  </si>
  <si>
    <t>봉사자 기부금 랭킹 로직 구현</t>
  </si>
  <si>
    <t>장애인페이지 내부 마커 구현</t>
  </si>
  <si>
    <t>장애인페이지 클릭 이벤트 구현</t>
  </si>
  <si>
    <t>주소를 이용한 좌표변환 Kakao API</t>
  </si>
  <si>
    <t>권병준, 하동민</t>
  </si>
  <si>
    <t>봉사자와 장애인사이의 통신 프로세스</t>
  </si>
  <si>
    <t>SMS Open API 구현</t>
  </si>
  <si>
    <t>3.1</t>
  </si>
  <si>
    <t>3.1.1</t>
  </si>
  <si>
    <t>3.1.2</t>
  </si>
  <si>
    <t>3.1.3</t>
  </si>
  <si>
    <t>3.1.4</t>
  </si>
  <si>
    <t>3.1.5</t>
  </si>
  <si>
    <t>3.1.6</t>
  </si>
  <si>
    <t>4주차 프로젝트 회의</t>
  </si>
  <si>
    <t>메인페이지 UI</t>
  </si>
  <si>
    <t>봉사자페이지 UI</t>
  </si>
  <si>
    <t>장애인페이지 UI</t>
  </si>
  <si>
    <t>에러페이지 제작</t>
  </si>
  <si>
    <t>지도 유효성 검사</t>
  </si>
  <si>
    <t>오류 수정</t>
  </si>
  <si>
    <t>그래프 시각화 데이터 오류 수정</t>
  </si>
  <si>
    <t>4.1</t>
  </si>
  <si>
    <t>4.1.1</t>
  </si>
  <si>
    <t>4.1.2</t>
  </si>
  <si>
    <t>4.1.3</t>
  </si>
  <si>
    <t>4.1.4</t>
  </si>
  <si>
    <t>4.1.5</t>
  </si>
  <si>
    <t>4.2</t>
  </si>
  <si>
    <t>4.2.1</t>
  </si>
  <si>
    <t>4.2.2</t>
  </si>
  <si>
    <t>4.2.3</t>
  </si>
  <si>
    <t>장애인화면 Filter기능 수정</t>
  </si>
  <si>
    <t>Javascript 코드 간소화</t>
  </si>
  <si>
    <t>유지보수</t>
  </si>
  <si>
    <t>안동규,권병준</t>
  </si>
  <si>
    <t>하동민,안동규</t>
  </si>
  <si>
    <t>12/29
W53</t>
  </si>
  <si>
    <t>5주차 프로젝트 회의</t>
  </si>
  <si>
    <t>게시판 페이지 UI 수정</t>
  </si>
  <si>
    <t>권병준,하동민</t>
  </si>
  <si>
    <t>장애인 페이지 UI 수정</t>
  </si>
  <si>
    <t>Controller 공통부분 수정</t>
  </si>
  <si>
    <t>기부하기 페이지 UI 수정</t>
  </si>
  <si>
    <t>5.1</t>
  </si>
  <si>
    <t>5.1.1</t>
  </si>
  <si>
    <t>5.1.2</t>
  </si>
  <si>
    <t>5.1.3</t>
  </si>
  <si>
    <t>5.1.4</t>
  </si>
  <si>
    <t>6주차 프로젝트 회의</t>
  </si>
  <si>
    <t>게시판 유효성 검사</t>
  </si>
  <si>
    <t>지도내부 간략정보 표시 화면 UI 구현</t>
  </si>
  <si>
    <t>지도내부 상세정보 표시 화면 UI 구현</t>
  </si>
  <si>
    <t>회원가입 및 회원정보 UI 구현</t>
  </si>
  <si>
    <t>회원가입 및 회원정보수정 유효성검사</t>
  </si>
  <si>
    <t>마커 오류 유지보수</t>
  </si>
  <si>
    <t>통신된 봉사자 상세정보 표현 유지보수</t>
  </si>
  <si>
    <t>샘플 데이터 삽입</t>
  </si>
  <si>
    <t>기능 검증, 오류 테스트</t>
  </si>
  <si>
    <t>6.1</t>
  </si>
  <si>
    <t>6.1.1</t>
  </si>
  <si>
    <t>6.1.2</t>
  </si>
  <si>
    <t>6.1.3</t>
  </si>
  <si>
    <t>6.1.4</t>
  </si>
  <si>
    <t>6.1.5</t>
  </si>
  <si>
    <t>6.2</t>
  </si>
  <si>
    <t>6.2.1</t>
  </si>
  <si>
    <t>6.2.2</t>
  </si>
  <si>
    <t>6.3</t>
  </si>
  <si>
    <t>6.3.1</t>
  </si>
  <si>
    <t>6.3.2</t>
  </si>
  <si>
    <t>보고서</t>
  </si>
  <si>
    <t>하동민.안동규</t>
  </si>
  <si>
    <t>안동규,권병준,하동민</t>
  </si>
  <si>
    <t>7주차 프로젝트 회의</t>
  </si>
  <si>
    <t>로그 지우기</t>
  </si>
  <si>
    <t>전체 프로세스 테스트</t>
  </si>
  <si>
    <t>PPT 템플릿 및 구조 설계</t>
  </si>
  <si>
    <t>PPT 제작</t>
  </si>
  <si>
    <t>발표 준비</t>
  </si>
  <si>
    <t>7.1</t>
  </si>
  <si>
    <t>7.1.1</t>
  </si>
  <si>
    <t>7.2</t>
  </si>
  <si>
    <t>7.2.1</t>
  </si>
  <si>
    <t>7.3</t>
  </si>
  <si>
    <t>7.3.1</t>
  </si>
  <si>
    <t>7.3.2</t>
  </si>
  <si>
    <t>7.3.3</t>
  </si>
  <si>
    <t>WBS</t>
    <phoneticPr fontId="7" type="noConversion"/>
  </si>
  <si>
    <t>실제_x000D_
시작일</t>
    <phoneticPr fontId="7" type="noConversion"/>
  </si>
  <si>
    <t>실제_x000D_
총작업량</t>
    <phoneticPr fontId="7" type="noConversion"/>
  </si>
  <si>
    <t>task_group</t>
    <phoneticPr fontId="7" type="noConversion"/>
  </si>
  <si>
    <t>wbs_level</t>
    <phoneticPr fontId="7" type="noConversion"/>
  </si>
  <si>
    <t>완료일*</t>
    <phoneticPr fontId="7" type="noConversion"/>
  </si>
  <si>
    <t>Calendar</t>
    <phoneticPr fontId="7" type="noConversion"/>
  </si>
  <si>
    <t>총_x000D_
작업량</t>
    <phoneticPr fontId="7" type="noConversion"/>
  </si>
  <si>
    <t>총_x000D_
기간</t>
    <phoneticPr fontId="7" type="noConversion"/>
  </si>
  <si>
    <t>산출물</t>
    <phoneticPr fontId="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</si>
</sst>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0_);[Red]\(0\)"/>
    <numFmt numFmtId="177" formatCode="0.0"/>
    <numFmt numFmtId="178" formatCode="0.0_);[Red]\(0.0\)"/>
    <numFmt numFmtId="179" formatCode="0.00_);[Red]\(0.00\)"/>
    <numFmt numFmtId="180" formatCode="dd"/>
  </numFmts>
  <fonts count="58">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11"/>
      <name val="CA"/>
      <family val="2"/>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12"/>
      <name val="맑은 고딕"/>
      <family val="3"/>
      <charset val="129"/>
      <scheme val="minor"/>
    </font>
    <font>
      <sz val="8"/>
      <name val="Arial"/>
      <family val="2"/>
    </font>
    <font>
      <sz val="10"/>
      <name val="맑은 고딕"/>
      <family val="3"/>
      <charset val="129"/>
      <scheme val="minor"/>
    </font>
    <font>
      <b/>
      <sz val="11"/>
      <color theme="1"/>
      <name val="맑은 고딕"/>
      <family val="3"/>
      <charset val="129"/>
      <scheme val="minor"/>
    </font>
    <font>
      <sz val="11"/>
      <name val="맑은 고딕"/>
      <family val="3"/>
      <charset val="129"/>
      <scheme val="minor"/>
    </font>
    <font>
      <b/>
      <u/>
      <sz val="11"/>
      <color theme="0"/>
      <name val="맑은 고딕"/>
      <family val="3"/>
      <charset val="129"/>
      <scheme val="minor"/>
    </font>
    <font>
      <b/>
      <sz val="12"/>
      <color theme="1"/>
      <name val="맑은 고딕"/>
      <family val="3"/>
      <charset val="129"/>
      <scheme val="minor"/>
    </font>
    <font>
      <b/>
      <sz val="11"/>
      <color theme="0"/>
      <name val="맑은 고딕"/>
      <family val="3"/>
      <charset val="129"/>
      <scheme val="minor"/>
    </font>
    <font>
      <b/>
      <u/>
      <sz val="11"/>
      <color theme="10"/>
      <name val="맑은 고딕"/>
      <family val="3"/>
      <charset val="129"/>
      <scheme val="minor"/>
    </font>
    <font>
      <b/>
      <u/>
      <sz val="12"/>
      <color rgb="FFFF8800"/>
      <name val="맑은 고딕"/>
      <family val="3"/>
      <charset val="129"/>
      <scheme val="minor"/>
    </font>
    <font>
      <sz val="8"/>
      <name val="Calibri"/>
      <family val="2"/>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sz val="8"/>
      <color theme="0"/>
      <name val="Calibri"/>
      <family val="2"/>
    </font>
    <font>
      <sz val="8"/>
      <color rgb="FFFF8800"/>
      <name val="Calibri"/>
      <family val="2"/>
    </font>
    <font>
      <sz val="9"/>
      <color theme="0"/>
      <name val="맑은 고딕"/>
      <family val="3"/>
      <charset val="129"/>
    </font>
    <font>
      <u/>
      <sz val="11"/>
      <color theme="10"/>
      <name val="맑은 고딕"/>
      <family val="3"/>
      <charset val="129"/>
      <scheme val="minor"/>
    </font>
    <font>
      <b/>
      <sz val="11"/>
      <name val="맑은 고딕"/>
      <family val="3"/>
      <charset val="129"/>
      <scheme val="minor"/>
    </font>
    <font>
      <sz val="11"/>
      <color rgb="FF333333"/>
      <name val="맑은 고딕"/>
      <family val="3"/>
      <charset val="129"/>
      <scheme val="minor"/>
    </font>
    <font>
      <b/>
      <sz val="18"/>
      <color theme="1"/>
      <name val="맑은 고딕"/>
      <family val="3"/>
      <charset val="129"/>
      <scheme val="minor"/>
    </font>
    <font>
      <b/>
      <sz val="14"/>
      <color theme="1"/>
      <name val="맑은 고딕"/>
      <family val="3"/>
      <charset val="129"/>
      <scheme val="minor"/>
    </font>
    <font>
      <sz val="11"/>
      <color theme="1"/>
      <name val="맑은 고딕"/>
      <family val="2"/>
      <scheme val="minor"/>
    </font>
    <font>
      <b/>
      <sz val="14"/>
      <color rgb="FFFF8800"/>
      <name val="Calibri"/>
      <family val="2"/>
    </font>
    <font>
      <b/>
      <sz val="9"/>
      <color rgb="FFFF8800"/>
      <name val="Calibri"/>
      <family val="2"/>
    </font>
    <font>
      <sz val="12"/>
      <color rgb="FF222222"/>
      <name val="맑은 고딕"/>
      <family val="3"/>
      <charset val="129"/>
      <scheme val="minor"/>
    </font>
    <font>
      <sz val="10"/>
      <name val="Calibri"/>
      <family val="3"/>
      <charset val="129"/>
    </font>
    <font>
      <sz val="9"/>
      <name val="돋움"/>
      <family val="3"/>
      <charset val="129"/>
    </font>
  </fonts>
  <fills count="18">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s>
  <borders count="29">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right>
      <top/>
      <bottom/>
      <diagonal/>
    </border>
    <border>
      <left style="thin">
        <color theme="0" tint="-4.9989318521683403E-2"/>
      </left>
      <right style="thin">
        <color theme="0" tint="-4.9989318521683403E-2"/>
      </right>
      <top/>
      <bottom/>
      <diagonal/>
    </border>
    <border>
      <left/>
      <right/>
      <top/>
      <bottom style="thin">
        <color theme="0" tint="-0.34998626667073579"/>
      </bottom>
      <diagonal/>
    </border>
    <border>
      <left/>
      <right/>
      <top style="thin">
        <color theme="0" tint="-0.14993743705557422"/>
      </top>
      <bottom style="thin">
        <color theme="0" tint="-0.1499374370555742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8" fillId="0" borderId="0" applyFont="0" applyFill="0" applyBorder="0" applyAlignment="0" applyProtection="0">
      <alignment vertical="center"/>
    </xf>
    <xf numFmtId="0" fontId="8" fillId="0" borderId="0"/>
    <xf numFmtId="0" fontId="21" fillId="0" borderId="0"/>
    <xf numFmtId="9" fontId="52" fillId="0" borderId="0" applyFont="0" applyFill="0" applyBorder="0" applyAlignment="0" applyProtection="0">
      <alignment vertical="center"/>
    </xf>
  </cellStyleXfs>
  <cellXfs count="282">
    <xf numFmtId="0" fontId="0" fillId="0" borderId="0" xfId="0"/>
    <xf numFmtId="0" fontId="11" fillId="0" borderId="5" xfId="4" applyFont="1" applyFill="1" applyBorder="1" applyAlignment="1" applyProtection="1">
      <alignment horizontal="right" vertical="top"/>
      <protection locked="0"/>
    </xf>
    <xf numFmtId="0" fontId="11" fillId="0" borderId="5" xfId="4" applyFont="1" applyFill="1" applyBorder="1" applyAlignment="1" applyProtection="1">
      <alignment horizontal="left" vertical="top"/>
      <protection locked="0"/>
    </xf>
    <xf numFmtId="14" fontId="11" fillId="0" borderId="5" xfId="4" applyNumberFormat="1" applyFont="1" applyFill="1" applyBorder="1" applyAlignment="1" applyProtection="1">
      <alignment horizontal="center" vertical="top"/>
      <protection locked="0"/>
    </xf>
    <xf numFmtId="0" fontId="11" fillId="0" borderId="5" xfId="4" applyNumberFormat="1" applyFont="1" applyFill="1" applyBorder="1" applyAlignment="1" applyProtection="1">
      <alignment horizontal="left" vertical="top"/>
      <protection locked="0"/>
    </xf>
    <xf numFmtId="176" fontId="11" fillId="0" borderId="5" xfId="4" applyNumberFormat="1" applyFont="1" applyFill="1" applyBorder="1" applyAlignment="1" applyProtection="1">
      <alignment horizontal="center" vertical="top"/>
      <protection locked="0"/>
    </xf>
    <xf numFmtId="0" fontId="11" fillId="0" borderId="5" xfId="4" applyNumberFormat="1" applyFont="1" applyFill="1" applyBorder="1" applyAlignment="1" applyProtection="1">
      <alignment horizontal="center" vertical="top"/>
      <protection locked="0"/>
    </xf>
    <xf numFmtId="177" fontId="11" fillId="0" borderId="5" xfId="4" applyNumberFormat="1" applyFont="1" applyFill="1" applyBorder="1" applyAlignment="1" applyProtection="1">
      <alignment horizontal="center" vertical="top"/>
      <protection locked="0"/>
    </xf>
    <xf numFmtId="1" fontId="11" fillId="0" borderId="5" xfId="4" applyNumberFormat="1" applyFont="1" applyFill="1" applyBorder="1" applyAlignment="1" applyProtection="1">
      <alignment horizontal="center" vertical="top"/>
      <protection locked="0"/>
    </xf>
    <xf numFmtId="178" fontId="11" fillId="0" borderId="5" xfId="4" applyNumberFormat="1" applyFont="1" applyFill="1" applyBorder="1" applyAlignment="1" applyProtection="1">
      <alignment horizontal="center" vertical="top"/>
      <protection locked="0"/>
    </xf>
    <xf numFmtId="14" fontId="11" fillId="0" borderId="5" xfId="4" applyNumberFormat="1" applyFont="1" applyFill="1" applyBorder="1" applyAlignment="1" applyProtection="1">
      <alignment horizontal="left" vertical="top"/>
      <protection locked="0"/>
    </xf>
    <xf numFmtId="10" fontId="11" fillId="0" borderId="5" xfId="3" applyNumberFormat="1" applyFont="1" applyFill="1" applyBorder="1" applyAlignment="1" applyProtection="1">
      <alignment horizontal="right" vertical="top" wrapText="1"/>
      <protection locked="0"/>
    </xf>
    <xf numFmtId="10" fontId="11" fillId="0" borderId="5" xfId="3" applyNumberFormat="1" applyFont="1" applyFill="1" applyBorder="1" applyAlignment="1" applyProtection="1">
      <alignment horizontal="right" vertical="top"/>
      <protection locked="0"/>
    </xf>
    <xf numFmtId="0" fontId="12" fillId="0" borderId="0" xfId="1" applyFont="1" applyFill="1" applyBorder="1" applyAlignment="1">
      <alignment vertical="center"/>
    </xf>
    <xf numFmtId="0" fontId="9" fillId="0" borderId="0" xfId="1" applyFont="1" applyFill="1" applyBorder="1" applyAlignment="1">
      <alignment vertical="center"/>
    </xf>
    <xf numFmtId="14" fontId="13" fillId="0" borderId="0" xfId="4" applyNumberFormat="1" applyFont="1" applyFill="1" applyBorder="1" applyAlignment="1" applyProtection="1">
      <alignment vertical="center"/>
    </xf>
    <xf numFmtId="14" fontId="14" fillId="0" borderId="0" xfId="4" applyNumberFormat="1" applyFont="1" applyFill="1" applyBorder="1" applyAlignment="1" applyProtection="1">
      <alignment vertical="center"/>
    </xf>
    <xf numFmtId="14" fontId="15" fillId="3" borderId="0" xfId="4" quotePrefix="1" applyNumberFormat="1" applyFont="1" applyFill="1" applyBorder="1" applyProtection="1"/>
    <xf numFmtId="14" fontId="15" fillId="3" borderId="0" xfId="4" applyNumberFormat="1" applyFont="1" applyFill="1" applyBorder="1" applyAlignment="1" applyProtection="1">
      <alignment vertical="center"/>
    </xf>
    <xf numFmtId="0" fontId="15" fillId="3" borderId="0" xfId="4" applyFont="1" applyFill="1" applyBorder="1" applyProtection="1"/>
    <xf numFmtId="176" fontId="17" fillId="3" borderId="0" xfId="4" applyNumberFormat="1" applyFont="1" applyFill="1" applyBorder="1" applyAlignment="1" applyProtection="1">
      <alignment vertical="center"/>
      <protection locked="0"/>
    </xf>
    <xf numFmtId="14" fontId="16" fillId="3" borderId="0" xfId="4" applyNumberFormat="1" applyFont="1" applyFill="1" applyBorder="1" applyAlignment="1" applyProtection="1">
      <alignment vertical="center"/>
    </xf>
    <xf numFmtId="14" fontId="15" fillId="0" borderId="6" xfId="4" applyNumberFormat="1" applyFont="1" applyFill="1" applyBorder="1" applyAlignment="1" applyProtection="1">
      <alignment vertical="top"/>
      <protection locked="0"/>
    </xf>
    <xf numFmtId="14" fontId="15" fillId="0" borderId="6" xfId="4" applyNumberFormat="1" applyFont="1" applyFill="1" applyBorder="1" applyAlignment="1" applyProtection="1">
      <alignment vertical="center"/>
      <protection locked="0"/>
    </xf>
    <xf numFmtId="0" fontId="15" fillId="0" borderId="6" xfId="4" applyFont="1" applyFill="1" applyBorder="1" applyAlignment="1" applyProtection="1">
      <alignment vertical="top"/>
      <protection locked="0"/>
    </xf>
    <xf numFmtId="0" fontId="15" fillId="0" borderId="6" xfId="4" applyFont="1" applyFill="1" applyBorder="1" applyAlignment="1" applyProtection="1">
      <alignment vertical="center" wrapText="1"/>
      <protection locked="0"/>
    </xf>
    <xf numFmtId="0" fontId="15" fillId="0" borderId="6" xfId="4" applyFont="1" applyFill="1" applyBorder="1" applyAlignment="1" applyProtection="1">
      <alignment vertical="center"/>
      <protection locked="0"/>
    </xf>
    <xf numFmtId="0" fontId="15" fillId="0" borderId="0" xfId="4" applyFont="1" applyFill="1" applyBorder="1" applyAlignment="1" applyProtection="1">
      <alignment vertical="top"/>
      <protection locked="0"/>
    </xf>
    <xf numFmtId="14" fontId="18" fillId="0" borderId="0" xfId="4" applyNumberFormat="1" applyFont="1" applyFill="1" applyBorder="1" applyAlignment="1" applyProtection="1">
      <alignment horizontal="right" vertical="top"/>
      <protection locked="0"/>
    </xf>
    <xf numFmtId="179" fontId="15" fillId="6" borderId="7" xfId="4" applyNumberFormat="1" applyFont="1" applyFill="1" applyBorder="1" applyAlignment="1" applyProtection="1">
      <alignment vertical="center"/>
      <protection locked="0"/>
    </xf>
    <xf numFmtId="14" fontId="18" fillId="0" borderId="8" xfId="4" applyNumberFormat="1" applyFont="1" applyFill="1" applyBorder="1" applyAlignment="1" applyProtection="1">
      <alignment horizontal="right" vertical="top"/>
      <protection locked="0"/>
    </xf>
    <xf numFmtId="14" fontId="15" fillId="0" borderId="8" xfId="4" applyNumberFormat="1" applyFont="1" applyFill="1" applyBorder="1" applyAlignment="1" applyProtection="1">
      <alignment vertical="center"/>
      <protection locked="0"/>
    </xf>
    <xf numFmtId="0" fontId="15" fillId="0" borderId="8" xfId="4" applyFont="1" applyFill="1" applyBorder="1" applyAlignment="1" applyProtection="1">
      <alignment vertical="top"/>
      <protection locked="0"/>
    </xf>
    <xf numFmtId="0" fontId="15" fillId="0" borderId="8" xfId="4" applyFont="1" applyFill="1" applyBorder="1" applyAlignment="1" applyProtection="1">
      <alignment vertical="center"/>
      <protection locked="0"/>
    </xf>
    <xf numFmtId="14" fontId="18" fillId="0" borderId="0" xfId="4" applyNumberFormat="1" applyFont="1" applyFill="1" applyBorder="1" applyAlignment="1" applyProtection="1">
      <alignment vertical="top"/>
      <protection locked="0"/>
    </xf>
    <xf numFmtId="14" fontId="15" fillId="0" borderId="0" xfId="4" applyNumberFormat="1" applyFont="1" applyFill="1" applyBorder="1" applyAlignment="1" applyProtection="1">
      <alignment vertical="center"/>
      <protection locked="0"/>
    </xf>
    <xf numFmtId="0" fontId="15" fillId="0" borderId="9" xfId="4" applyFont="1" applyFill="1" applyBorder="1" applyAlignment="1" applyProtection="1">
      <alignment vertical="center" wrapText="1"/>
      <protection locked="0"/>
    </xf>
    <xf numFmtId="14" fontId="15" fillId="0" borderId="0" xfId="4" applyNumberFormat="1" applyFont="1" applyFill="1" applyBorder="1" applyAlignment="1" applyProtection="1">
      <alignment vertical="top"/>
      <protection locked="0"/>
    </xf>
    <xf numFmtId="14" fontId="18" fillId="0" borderId="8" xfId="4" applyNumberFormat="1" applyFont="1" applyFill="1" applyBorder="1" applyAlignment="1" applyProtection="1">
      <alignment vertical="top"/>
      <protection locked="0"/>
    </xf>
    <xf numFmtId="0" fontId="15" fillId="0" borderId="8" xfId="4" applyFont="1" applyFill="1" applyBorder="1" applyAlignment="1" applyProtection="1">
      <alignment vertical="center" wrapText="1"/>
      <protection locked="0"/>
    </xf>
    <xf numFmtId="14" fontId="18" fillId="0" borderId="9" xfId="4" applyNumberFormat="1" applyFont="1" applyFill="1" applyBorder="1" applyAlignment="1" applyProtection="1">
      <alignment vertical="center" wrapText="1"/>
      <protection locked="0"/>
    </xf>
    <xf numFmtId="14" fontId="18" fillId="0" borderId="0" xfId="4" applyNumberFormat="1" applyFont="1" applyFill="1" applyBorder="1" applyAlignment="1" applyProtection="1">
      <alignment horizontal="right" vertical="center" wrapText="1"/>
      <protection locked="0"/>
    </xf>
    <xf numFmtId="14" fontId="18" fillId="0" borderId="8" xfId="4" applyNumberFormat="1" applyFont="1" applyFill="1" applyBorder="1" applyAlignment="1" applyProtection="1">
      <alignment vertical="center" wrapText="1"/>
      <protection locked="0"/>
    </xf>
    <xf numFmtId="0" fontId="15" fillId="0" borderId="8" xfId="4" applyFont="1" applyFill="1" applyBorder="1" applyProtection="1">
      <protection locked="0"/>
    </xf>
    <xf numFmtId="0" fontId="15" fillId="0" borderId="0" xfId="4" applyFont="1" applyFill="1" applyBorder="1" applyProtection="1">
      <protection locked="0"/>
    </xf>
    <xf numFmtId="14" fontId="15" fillId="0" borderId="0" xfId="4" applyNumberFormat="1" applyFont="1" applyFill="1" applyBorder="1" applyProtection="1">
      <protection locked="0"/>
    </xf>
    <xf numFmtId="14" fontId="15" fillId="0" borderId="9" xfId="4" applyNumberFormat="1" applyFont="1" applyFill="1" applyBorder="1" applyAlignment="1" applyProtection="1">
      <alignment vertical="center"/>
      <protection locked="0"/>
    </xf>
    <xf numFmtId="0" fontId="15" fillId="0" borderId="9" xfId="4" applyFont="1" applyFill="1" applyBorder="1" applyProtection="1">
      <protection locked="0"/>
    </xf>
    <xf numFmtId="14" fontId="15" fillId="0" borderId="10" xfId="4" applyNumberFormat="1" applyFont="1" applyFill="1" applyBorder="1" applyAlignment="1" applyProtection="1">
      <alignment vertical="center"/>
      <protection locked="0"/>
    </xf>
    <xf numFmtId="0" fontId="15" fillId="0" borderId="10" xfId="4" applyFont="1" applyFill="1" applyBorder="1" applyAlignment="1" applyProtection="1">
      <alignment vertical="top"/>
      <protection locked="0"/>
    </xf>
    <xf numFmtId="14" fontId="18" fillId="0" borderId="9" xfId="4" applyNumberFormat="1" applyFont="1" applyFill="1" applyBorder="1" applyProtection="1">
      <protection locked="0"/>
    </xf>
    <xf numFmtId="10" fontId="15" fillId="6" borderId="7" xfId="3" applyNumberFormat="1" applyFont="1" applyFill="1" applyBorder="1" applyAlignment="1" applyProtection="1">
      <alignment vertical="center"/>
      <protection locked="0"/>
    </xf>
    <xf numFmtId="14" fontId="18" fillId="0" borderId="10" xfId="4" applyNumberFormat="1" applyFont="1" applyFill="1" applyBorder="1" applyAlignment="1" applyProtection="1">
      <alignment horizontal="right" vertical="top"/>
      <protection locked="0"/>
    </xf>
    <xf numFmtId="14" fontId="18" fillId="0" borderId="6" xfId="4" applyNumberFormat="1" applyFont="1" applyFill="1" applyBorder="1" applyAlignment="1" applyProtection="1">
      <alignment horizontal="right" vertical="top"/>
      <protection locked="0"/>
    </xf>
    <xf numFmtId="14" fontId="18" fillId="0" borderId="11" xfId="4" applyNumberFormat="1" applyFont="1" applyFill="1" applyBorder="1" applyAlignment="1" applyProtection="1">
      <alignment horizontal="right" vertical="top"/>
      <protection locked="0"/>
    </xf>
    <xf numFmtId="14" fontId="15" fillId="0" borderId="11" xfId="4" applyNumberFormat="1" applyFont="1" applyFill="1" applyBorder="1" applyAlignment="1" applyProtection="1">
      <alignment vertical="center"/>
      <protection locked="0"/>
    </xf>
    <xf numFmtId="0" fontId="15" fillId="0" borderId="11" xfId="4" applyFont="1" applyFill="1" applyBorder="1" applyAlignment="1" applyProtection="1">
      <alignment vertical="top"/>
      <protection locked="0"/>
    </xf>
    <xf numFmtId="14" fontId="18" fillId="0" borderId="12" xfId="4" applyNumberFormat="1" applyFont="1" applyFill="1" applyBorder="1" applyAlignment="1" applyProtection="1">
      <alignment vertical="top"/>
      <protection locked="0"/>
    </xf>
    <xf numFmtId="14" fontId="15" fillId="0" borderId="12" xfId="4" applyNumberFormat="1" applyFont="1" applyFill="1" applyBorder="1" applyAlignment="1" applyProtection="1">
      <alignment vertical="center"/>
      <protection locked="0"/>
    </xf>
    <xf numFmtId="0" fontId="15" fillId="0" borderId="12" xfId="4" applyFont="1" applyFill="1" applyBorder="1" applyAlignment="1" applyProtection="1">
      <alignment vertical="top"/>
      <protection locked="0"/>
    </xf>
    <xf numFmtId="0" fontId="15" fillId="0" borderId="9" xfId="4" applyFont="1" applyFill="1" applyBorder="1" applyAlignment="1" applyProtection="1">
      <alignment vertical="center"/>
      <protection locked="0"/>
    </xf>
    <xf numFmtId="10" fontId="15" fillId="6" borderId="7" xfId="3" applyNumberFormat="1" applyFont="1" applyFill="1" applyBorder="1" applyAlignment="1" applyProtection="1">
      <alignment vertical="center"/>
    </xf>
    <xf numFmtId="14" fontId="15" fillId="0" borderId="13" xfId="4" applyNumberFormat="1" applyFont="1" applyFill="1" applyBorder="1" applyAlignment="1" applyProtection="1">
      <alignment horizontal="right" vertical="top"/>
      <protection locked="0"/>
    </xf>
    <xf numFmtId="14" fontId="15" fillId="0" borderId="13" xfId="4" applyNumberFormat="1" applyFont="1" applyFill="1" applyBorder="1" applyAlignment="1" applyProtection="1">
      <alignment vertical="center"/>
      <protection locked="0"/>
    </xf>
    <xf numFmtId="0" fontId="15" fillId="0" borderId="13" xfId="4" applyFont="1" applyFill="1" applyBorder="1" applyAlignment="1" applyProtection="1">
      <alignment vertical="top"/>
      <protection locked="0"/>
    </xf>
    <xf numFmtId="0" fontId="15" fillId="0" borderId="13" xfId="4" applyFont="1" applyFill="1" applyBorder="1" applyAlignment="1" applyProtection="1">
      <alignment vertical="center"/>
      <protection locked="0"/>
    </xf>
    <xf numFmtId="14" fontId="14" fillId="0" borderId="0" xfId="4" applyNumberFormat="1" applyFont="1" applyFill="1" applyBorder="1" applyAlignment="1" applyProtection="1">
      <alignment vertical="top"/>
      <protection locked="0"/>
    </xf>
    <xf numFmtId="14" fontId="14" fillId="0" borderId="0" xfId="4" applyNumberFormat="1" applyFont="1" applyFill="1" applyBorder="1" applyAlignment="1" applyProtection="1">
      <alignment vertical="center"/>
      <protection locked="0"/>
    </xf>
    <xf numFmtId="0" fontId="14" fillId="0" borderId="0" xfId="4" applyFont="1" applyFill="1" applyBorder="1" applyAlignment="1" applyProtection="1">
      <alignment vertical="top"/>
      <protection locked="0"/>
    </xf>
    <xf numFmtId="14" fontId="14" fillId="0" borderId="0" xfId="4" applyNumberFormat="1" applyFont="1" applyFill="1" applyBorder="1" applyProtection="1">
      <protection locked="0"/>
    </xf>
    <xf numFmtId="179" fontId="14" fillId="0" borderId="0" xfId="3" applyNumberFormat="1" applyFont="1" applyFill="1" applyBorder="1" applyAlignment="1" applyProtection="1">
      <alignment vertical="center"/>
      <protection locked="0"/>
    </xf>
    <xf numFmtId="0" fontId="14" fillId="0" borderId="0" xfId="4" applyFont="1" applyFill="1" applyBorder="1" applyProtection="1">
      <protection locked="0"/>
    </xf>
    <xf numFmtId="1" fontId="14" fillId="0" borderId="0" xfId="4" applyNumberFormat="1" applyFont="1" applyFill="1" applyBorder="1" applyAlignment="1" applyProtection="1">
      <alignment vertical="center"/>
      <protection locked="0"/>
    </xf>
    <xf numFmtId="176" fontId="14" fillId="0" borderId="0" xfId="4" applyNumberFormat="1" applyFont="1" applyFill="1" applyBorder="1" applyAlignment="1" applyProtection="1">
      <alignment vertical="center"/>
      <protection locked="0"/>
    </xf>
    <xf numFmtId="0" fontId="12" fillId="0" borderId="0" xfId="4" applyFont="1" applyFill="1" applyBorder="1" applyAlignment="1">
      <alignment vertical="center"/>
    </xf>
    <xf numFmtId="0" fontId="14" fillId="7" borderId="1" xfId="4" applyFont="1" applyFill="1" applyBorder="1" applyAlignment="1">
      <alignment horizontal="left" wrapText="1"/>
    </xf>
    <xf numFmtId="14" fontId="14" fillId="0" borderId="0" xfId="4" applyNumberFormat="1" applyFont="1" applyFill="1" applyProtection="1"/>
    <xf numFmtId="14" fontId="14" fillId="3" borderId="0" xfId="4" applyNumberFormat="1" applyFont="1" applyFill="1" applyAlignment="1" applyProtection="1">
      <alignment vertical="top"/>
    </xf>
    <xf numFmtId="14" fontId="20" fillId="4" borderId="14" xfId="4" applyNumberFormat="1" applyFont="1" applyFill="1" applyBorder="1" applyAlignment="1" applyProtection="1">
      <alignment horizontal="center" vertical="center"/>
    </xf>
    <xf numFmtId="14" fontId="14" fillId="0" borderId="0" xfId="4" applyNumberFormat="1" applyFont="1" applyAlignment="1" applyProtection="1">
      <alignment horizontal="center" vertical="center"/>
    </xf>
    <xf numFmtId="14" fontId="14" fillId="0" borderId="0" xfId="4" applyNumberFormat="1" applyFont="1" applyProtection="1"/>
    <xf numFmtId="0" fontId="23" fillId="0" borderId="0" xfId="4" applyNumberFormat="1" applyFont="1" applyFill="1" applyBorder="1" applyAlignment="1" applyProtection="1">
      <alignment horizontal="center"/>
      <protection locked="0"/>
    </xf>
    <xf numFmtId="0" fontId="23" fillId="0" borderId="0" xfId="4" applyFont="1" applyFill="1" applyBorder="1" applyAlignment="1" applyProtection="1">
      <alignment horizontal="center"/>
      <protection locked="0"/>
    </xf>
    <xf numFmtId="0" fontId="23" fillId="0" borderId="0" xfId="4" applyFont="1" applyFill="1" applyBorder="1" applyProtection="1">
      <protection locked="0"/>
    </xf>
    <xf numFmtId="0" fontId="23" fillId="0" borderId="0" xfId="4" applyNumberFormat="1" applyFont="1" applyFill="1" applyBorder="1" applyAlignment="1" applyProtection="1">
      <alignment horizontal="right"/>
      <protection locked="0"/>
    </xf>
    <xf numFmtId="0" fontId="23" fillId="0" borderId="0" xfId="4" applyNumberFormat="1" applyFont="1" applyFill="1" applyBorder="1" applyAlignment="1" applyProtection="1">
      <alignment horizontal="left"/>
      <protection locked="0"/>
    </xf>
    <xf numFmtId="14" fontId="23" fillId="0" borderId="0" xfId="4" applyNumberFormat="1" applyFont="1" applyFill="1" applyBorder="1" applyProtection="1">
      <protection locked="0"/>
    </xf>
    <xf numFmtId="0" fontId="15" fillId="9" borderId="15" xfId="4" applyFont="1" applyFill="1" applyBorder="1" applyAlignment="1">
      <alignment horizontal="left" vertical="top"/>
    </xf>
    <xf numFmtId="0" fontId="15" fillId="0" borderId="0" xfId="4" applyFont="1" applyFill="1" applyAlignment="1">
      <alignment horizontal="left" vertical="top"/>
    </xf>
    <xf numFmtId="0" fontId="15" fillId="0" borderId="0" xfId="4" applyFont="1" applyFill="1" applyBorder="1" applyAlignment="1">
      <alignment vertical="top"/>
    </xf>
    <xf numFmtId="0" fontId="15" fillId="0" borderId="0" xfId="4" applyFont="1" applyFill="1" applyBorder="1" applyAlignment="1">
      <alignment horizontal="left" vertical="top"/>
    </xf>
    <xf numFmtId="0" fontId="15" fillId="0" borderId="0" xfId="4" applyFont="1" applyFill="1" applyAlignment="1">
      <alignment vertical="top"/>
    </xf>
    <xf numFmtId="0" fontId="15" fillId="0" borderId="0" xfId="4" quotePrefix="1" applyFont="1" applyFill="1" applyBorder="1" applyAlignment="1">
      <alignment horizontal="left" vertical="top"/>
    </xf>
    <xf numFmtId="14" fontId="15" fillId="0" borderId="0" xfId="4" applyNumberFormat="1" applyFont="1" applyFill="1" applyBorder="1" applyAlignment="1">
      <alignment horizontal="left" vertical="top"/>
    </xf>
    <xf numFmtId="0" fontId="15" fillId="0" borderId="15" xfId="4" applyFont="1" applyFill="1" applyBorder="1" applyAlignment="1">
      <alignment vertical="top"/>
    </xf>
    <xf numFmtId="0" fontId="15" fillId="0" borderId="15" xfId="4" applyFont="1" applyFill="1" applyBorder="1" applyAlignment="1">
      <alignment horizontal="left" vertical="top"/>
    </xf>
    <xf numFmtId="14" fontId="15" fillId="0" borderId="0" xfId="4" applyNumberFormat="1" applyFont="1" applyFill="1" applyAlignment="1">
      <alignment horizontal="left" vertical="top"/>
    </xf>
    <xf numFmtId="1" fontId="15" fillId="0" borderId="0" xfId="4" applyNumberFormat="1" applyFont="1" applyFill="1" applyAlignment="1">
      <alignment horizontal="left" vertical="top"/>
    </xf>
    <xf numFmtId="22" fontId="15" fillId="0" borderId="0" xfId="4" applyNumberFormat="1" applyFont="1" applyFill="1" applyAlignment="1">
      <alignment horizontal="left" vertical="top"/>
    </xf>
    <xf numFmtId="14" fontId="15" fillId="0" borderId="0" xfId="4" applyNumberFormat="1" applyFont="1" applyFill="1" applyAlignment="1">
      <alignment vertical="top"/>
    </xf>
    <xf numFmtId="0" fontId="22" fillId="0" borderId="0" xfId="0" applyFont="1" applyAlignment="1"/>
    <xf numFmtId="0" fontId="11" fillId="0" borderId="5" xfId="4" applyFont="1" applyFill="1" applyBorder="1" applyAlignment="1" applyProtection="1">
      <alignment vertical="top"/>
      <protection locked="0"/>
    </xf>
    <xf numFmtId="0" fontId="29" fillId="0" borderId="0" xfId="0" applyFont="1"/>
    <xf numFmtId="0" fontId="31" fillId="0" borderId="0" xfId="0" applyFont="1" applyProtection="1">
      <protection locked="0"/>
    </xf>
    <xf numFmtId="0" fontId="32" fillId="0" borderId="0" xfId="0" applyFont="1" applyProtection="1">
      <protection locked="0"/>
    </xf>
    <xf numFmtId="0" fontId="31" fillId="0" borderId="0" xfId="0" applyFont="1" applyAlignment="1" applyProtection="1">
      <alignment vertical="center"/>
      <protection locked="0"/>
    </xf>
    <xf numFmtId="0" fontId="29" fillId="0" borderId="0" xfId="0" applyFont="1" applyAlignment="1">
      <alignment vertical="center"/>
    </xf>
    <xf numFmtId="0" fontId="33" fillId="0" borderId="0" xfId="0" applyFont="1" applyAlignment="1">
      <alignment vertical="center"/>
    </xf>
    <xf numFmtId="0" fontId="34" fillId="12" borderId="17" xfId="2" applyFont="1" applyFill="1" applyBorder="1" applyAlignment="1" applyProtection="1">
      <alignment horizontal="center" vertical="center" wrapText="1"/>
      <protection locked="0"/>
    </xf>
    <xf numFmtId="0" fontId="36" fillId="12" borderId="17" xfId="2" applyFont="1" applyFill="1" applyBorder="1" applyAlignment="1" applyProtection="1">
      <alignment horizontal="center" vertical="center" wrapText="1"/>
      <protection locked="0"/>
    </xf>
    <xf numFmtId="0" fontId="37" fillId="0" borderId="18" xfId="2" applyFont="1" applyFill="1" applyBorder="1" applyAlignment="1" applyProtection="1">
      <alignment horizontal="center" vertical="center" wrapText="1"/>
      <protection locked="0"/>
    </xf>
    <xf numFmtId="0" fontId="34" fillId="13" borderId="17" xfId="2" applyFont="1" applyFill="1" applyBorder="1" applyAlignment="1" applyProtection="1">
      <alignment horizontal="center" vertical="center" wrapText="1"/>
      <protection locked="0"/>
    </xf>
    <xf numFmtId="0" fontId="34" fillId="14" borderId="17" xfId="2" applyFont="1" applyFill="1" applyBorder="1" applyAlignment="1" applyProtection="1">
      <alignment horizontal="center" vertical="center" wrapText="1"/>
      <protection locked="0"/>
    </xf>
    <xf numFmtId="14" fontId="0" fillId="0" borderId="0" xfId="0" applyNumberFormat="1"/>
    <xf numFmtId="0" fontId="29" fillId="0" borderId="0" xfId="0" applyFont="1" applyAlignment="1">
      <alignment horizontal="center"/>
    </xf>
    <xf numFmtId="0" fontId="31" fillId="0" borderId="0" xfId="0" applyFont="1" applyAlignment="1" applyProtection="1">
      <alignment horizontal="center"/>
      <protection locked="0"/>
    </xf>
    <xf numFmtId="0" fontId="35" fillId="0" borderId="0" xfId="0" applyFont="1" applyAlignment="1" applyProtection="1">
      <alignment horizontal="center"/>
      <protection locked="0"/>
    </xf>
    <xf numFmtId="0" fontId="29" fillId="0" borderId="0" xfId="0" applyFont="1" applyAlignment="1">
      <alignment horizontal="center" vertical="center"/>
    </xf>
    <xf numFmtId="0" fontId="32" fillId="0" borderId="0" xfId="0" applyFont="1" applyAlignment="1" applyProtection="1">
      <alignment horizontal="center"/>
      <protection locked="0"/>
    </xf>
    <xf numFmtId="9" fontId="0" fillId="0" borderId="0" xfId="0" applyNumberFormat="1"/>
    <xf numFmtId="0" fontId="40" fillId="4" borderId="1" xfId="4" applyFont="1" applyFill="1" applyBorder="1" applyAlignment="1">
      <alignment horizontal="center" vertical="center"/>
    </xf>
    <xf numFmtId="0" fontId="40" fillId="4" borderId="1" xfId="4" applyFont="1" applyFill="1" applyBorder="1" applyAlignment="1">
      <alignment horizontal="center" vertical="center" wrapText="1"/>
    </xf>
    <xf numFmtId="0" fontId="41" fillId="0" borderId="0" xfId="0" applyFont="1" applyAlignment="1">
      <alignment vertical="top"/>
    </xf>
    <xf numFmtId="0" fontId="41" fillId="0" borderId="0" xfId="0" applyFont="1" applyAlignment="1">
      <alignment horizontal="center" vertical="top"/>
    </xf>
    <xf numFmtId="0" fontId="42" fillId="0" borderId="0" xfId="0" applyFont="1" applyAlignment="1">
      <alignment vertical="top"/>
    </xf>
    <xf numFmtId="0" fontId="41" fillId="0" borderId="0" xfId="0" applyFont="1" applyAlignment="1">
      <alignment vertical="top" wrapText="1"/>
    </xf>
    <xf numFmtId="0" fontId="41" fillId="0" borderId="0" xfId="5" applyFont="1" applyFill="1" applyBorder="1" applyAlignment="1">
      <alignment horizontal="left" vertical="top" wrapText="1"/>
    </xf>
    <xf numFmtId="0" fontId="41" fillId="0" borderId="0" xfId="5" applyFont="1" applyFill="1" applyBorder="1" applyAlignment="1">
      <alignment horizontal="left" vertical="top"/>
    </xf>
    <xf numFmtId="0" fontId="42" fillId="0" borderId="0" xfId="5" applyFont="1" applyFill="1" applyBorder="1" applyAlignment="1">
      <alignment horizontal="left" vertical="top"/>
    </xf>
    <xf numFmtId="0" fontId="43" fillId="0" borderId="0" xfId="4" applyFont="1" applyAlignment="1">
      <alignment vertical="top"/>
    </xf>
    <xf numFmtId="0" fontId="41" fillId="0" borderId="0" xfId="5" applyNumberFormat="1" applyFont="1" applyFill="1" applyBorder="1" applyAlignment="1">
      <alignment horizontal="left" vertical="top" wrapText="1"/>
    </xf>
    <xf numFmtId="14" fontId="41" fillId="0" borderId="0" xfId="5" applyNumberFormat="1" applyFont="1" applyFill="1" applyBorder="1" applyAlignment="1">
      <alignment horizontal="left" vertical="top" wrapText="1"/>
    </xf>
    <xf numFmtId="0" fontId="43" fillId="0" borderId="0" xfId="5" applyFont="1" applyFill="1" applyBorder="1" applyAlignment="1">
      <alignment horizontal="left" vertical="top"/>
    </xf>
    <xf numFmtId="0" fontId="42" fillId="0" borderId="0" xfId="5" applyFont="1" applyFill="1" applyBorder="1" applyAlignment="1">
      <alignment horizontal="left" vertical="top" wrapText="1"/>
    </xf>
    <xf numFmtId="0" fontId="41" fillId="0" borderId="0" xfId="0" applyFont="1" applyAlignment="1"/>
    <xf numFmtId="0" fontId="29" fillId="11" borderId="0" xfId="0" applyFont="1" applyFill="1" applyBorder="1" applyAlignment="1">
      <alignment vertical="center"/>
    </xf>
    <xf numFmtId="0" fontId="23" fillId="0" borderId="0" xfId="4" quotePrefix="1" applyNumberFormat="1" applyFont="1" applyFill="1" applyBorder="1" applyAlignment="1" applyProtection="1">
      <alignment horizontal="right"/>
      <protection locked="0"/>
    </xf>
    <xf numFmtId="0" fontId="14" fillId="7" borderId="2" xfId="4" applyFont="1" applyFill="1" applyBorder="1" applyAlignment="1">
      <alignment horizontal="left" wrapText="1"/>
    </xf>
    <xf numFmtId="0" fontId="23" fillId="0" borderId="0" xfId="4" applyNumberFormat="1" applyFont="1" applyFill="1" applyBorder="1" applyProtection="1">
      <protection locked="0"/>
    </xf>
    <xf numFmtId="0" fontId="14" fillId="0" borderId="0" xfId="4" applyNumberFormat="1" applyFont="1" applyBorder="1"/>
    <xf numFmtId="14" fontId="23" fillId="0" borderId="0" xfId="4" applyNumberFormat="1" applyFont="1" applyFill="1" applyBorder="1" applyAlignment="1" applyProtection="1">
      <alignment horizontal="right"/>
      <protection locked="0"/>
    </xf>
    <xf numFmtId="14" fontId="23" fillId="0" borderId="0" xfId="4" applyNumberFormat="1" applyFont="1" applyFill="1" applyBorder="1" applyAlignment="1" applyProtection="1">
      <alignment horizontal="left"/>
      <protection locked="0"/>
    </xf>
    <xf numFmtId="10" fontId="23" fillId="0" borderId="0" xfId="4" applyNumberFormat="1" applyFont="1" applyFill="1" applyBorder="1" applyAlignment="1" applyProtection="1">
      <alignment horizontal="center"/>
      <protection locked="0"/>
    </xf>
    <xf numFmtId="10" fontId="23" fillId="0" borderId="0" xfId="4" applyNumberFormat="1" applyFont="1" applyFill="1" applyBorder="1" applyProtection="1">
      <protection locked="0"/>
    </xf>
    <xf numFmtId="10" fontId="0" fillId="0" borderId="0" xfId="0" applyNumberFormat="1"/>
    <xf numFmtId="0" fontId="36" fillId="10" borderId="17" xfId="2" applyFont="1" applyFill="1" applyBorder="1" applyAlignment="1" applyProtection="1">
      <alignment horizontal="center" vertical="center" wrapText="1"/>
      <protection locked="0"/>
    </xf>
    <xf numFmtId="0" fontId="34" fillId="15" borderId="17" xfId="2" applyFont="1" applyFill="1" applyBorder="1" applyAlignment="1" applyProtection="1">
      <alignment horizontal="center" vertical="center" wrapText="1"/>
      <protection locked="0"/>
    </xf>
    <xf numFmtId="0" fontId="34" fillId="16" borderId="17" xfId="2" applyFont="1" applyFill="1" applyBorder="1" applyAlignment="1" applyProtection="1">
      <alignment horizontal="center" vertical="center" wrapText="1"/>
      <protection locked="0"/>
    </xf>
    <xf numFmtId="0" fontId="47" fillId="0" borderId="18" xfId="2" applyFont="1" applyFill="1" applyBorder="1" applyAlignment="1" applyProtection="1">
      <alignment horizontal="center" vertical="center" wrapText="1"/>
      <protection locked="0"/>
    </xf>
    <xf numFmtId="0" fontId="35" fillId="17" borderId="0" xfId="0" applyFont="1" applyFill="1" applyAlignment="1" applyProtection="1">
      <alignment horizontal="left"/>
      <protection locked="0"/>
    </xf>
    <xf numFmtId="0" fontId="31" fillId="17" borderId="0" xfId="0" applyFont="1" applyFill="1" applyProtection="1">
      <protection locked="0"/>
    </xf>
    <xf numFmtId="0" fontId="32" fillId="17" borderId="0" xfId="0" applyFont="1" applyFill="1" applyProtection="1">
      <protection locked="0"/>
    </xf>
    <xf numFmtId="0" fontId="31" fillId="17" borderId="0" xfId="0" applyFont="1" applyFill="1" applyAlignment="1" applyProtection="1">
      <alignment vertical="center"/>
      <protection locked="0"/>
    </xf>
    <xf numFmtId="0" fontId="51" fillId="0" borderId="0" xfId="0" applyFont="1" applyAlignment="1" applyProtection="1">
      <alignment horizontal="center"/>
      <protection locked="0"/>
    </xf>
    <xf numFmtId="0" fontId="0" fillId="9" borderId="0" xfId="0" applyFill="1"/>
    <xf numFmtId="14" fontId="0" fillId="9" borderId="0" xfId="0" applyNumberFormat="1" applyFill="1"/>
    <xf numFmtId="14" fontId="14" fillId="0" borderId="10" xfId="4" applyNumberFormat="1" applyFont="1" applyBorder="1"/>
    <xf numFmtId="0" fontId="14" fillId="0" borderId="10" xfId="4" applyFont="1" applyBorder="1"/>
    <xf numFmtId="0" fontId="14" fillId="0" borderId="10" xfId="4" applyNumberFormat="1" applyFont="1" applyBorder="1"/>
    <xf numFmtId="14" fontId="14" fillId="0" borderId="23" xfId="4" applyNumberFormat="1" applyFont="1" applyBorder="1"/>
    <xf numFmtId="0" fontId="14" fillId="0" borderId="23" xfId="4" applyFont="1" applyBorder="1"/>
    <xf numFmtId="0" fontId="14" fillId="0" borderId="23" xfId="4" applyNumberFormat="1" applyFont="1" applyBorder="1"/>
    <xf numFmtId="14" fontId="33" fillId="8" borderId="14" xfId="0" applyNumberFormat="1" applyFont="1" applyFill="1" applyBorder="1" applyProtection="1">
      <protection locked="0"/>
    </xf>
    <xf numFmtId="14" fontId="33" fillId="0" borderId="14" xfId="0" applyNumberFormat="1" applyFont="1" applyBorder="1" applyProtection="1">
      <protection locked="0"/>
    </xf>
    <xf numFmtId="14" fontId="33" fillId="0" borderId="0" xfId="4" applyNumberFormat="1" applyFont="1" applyProtection="1"/>
    <xf numFmtId="14" fontId="33" fillId="8" borderId="14" xfId="4" applyNumberFormat="1" applyFont="1" applyFill="1" applyBorder="1" applyProtection="1">
      <protection locked="0"/>
    </xf>
    <xf numFmtId="14" fontId="33" fillId="0" borderId="14" xfId="4" applyNumberFormat="1" applyFont="1" applyBorder="1" applyProtection="1">
      <protection locked="0"/>
    </xf>
    <xf numFmtId="0" fontId="55" fillId="0" borderId="0" xfId="4" applyFont="1"/>
    <xf numFmtId="14" fontId="33" fillId="0" borderId="14" xfId="0" applyNumberFormat="1" applyFont="1" applyFill="1" applyBorder="1" applyProtection="1">
      <protection locked="0"/>
    </xf>
    <xf numFmtId="14" fontId="33" fillId="0" borderId="14" xfId="4" applyNumberFormat="1" applyFont="1" applyBorder="1" applyProtection="1"/>
    <xf numFmtId="0" fontId="14" fillId="0" borderId="0" xfId="4" applyFont="1" applyBorder="1"/>
    <xf numFmtId="0" fontId="14" fillId="7" borderId="2" xfId="4" applyNumberFormat="1" applyFont="1" applyFill="1" applyBorder="1" applyAlignment="1">
      <alignment horizontal="left" wrapText="1"/>
    </xf>
    <xf numFmtId="0" fontId="14" fillId="7" borderId="3" xfId="4" applyNumberFormat="1" applyFont="1" applyFill="1" applyBorder="1" applyAlignment="1">
      <alignment horizontal="left" wrapText="1"/>
    </xf>
    <xf numFmtId="10" fontId="14" fillId="0" borderId="10" xfId="6" applyNumberFormat="1" applyFont="1" applyBorder="1" applyAlignment="1"/>
    <xf numFmtId="10" fontId="14" fillId="0" borderId="23" xfId="6" applyNumberFormat="1" applyFont="1" applyBorder="1" applyAlignment="1"/>
    <xf numFmtId="0" fontId="45" fillId="5" borderId="20" xfId="4" applyFont="1" applyFill="1" applyBorder="1" applyAlignment="1" applyProtection="1">
      <alignment horizontal="left" vertical="center"/>
    </xf>
    <xf numFmtId="0" fontId="11" fillId="0" borderId="27" xfId="4" applyFont="1" applyFill="1" applyBorder="1" applyAlignment="1" applyProtection="1">
      <alignment vertical="top"/>
      <protection locked="0"/>
    </xf>
    <xf numFmtId="0" fontId="11" fillId="0" borderId="27" xfId="4" applyFont="1" applyFill="1" applyBorder="1" applyAlignment="1" applyProtection="1">
      <alignment horizontal="right" vertical="top"/>
      <protection locked="0"/>
    </xf>
    <xf numFmtId="0" fontId="11" fillId="0" borderId="27" xfId="4" applyFont="1" applyFill="1" applyBorder="1" applyAlignment="1" applyProtection="1">
      <alignment horizontal="left" vertical="top"/>
      <protection locked="0"/>
    </xf>
    <xf numFmtId="14" fontId="11" fillId="0" borderId="27" xfId="4" applyNumberFormat="1" applyFont="1" applyFill="1" applyBorder="1" applyAlignment="1" applyProtection="1">
      <alignment horizontal="center" vertical="top"/>
      <protection locked="0"/>
    </xf>
    <xf numFmtId="0" fontId="11" fillId="0" borderId="27" xfId="4" applyNumberFormat="1" applyFont="1" applyFill="1" applyBorder="1" applyAlignment="1" applyProtection="1">
      <alignment horizontal="center" vertical="top"/>
      <protection locked="0"/>
    </xf>
    <xf numFmtId="0" fontId="11" fillId="0" borderId="27" xfId="4" applyNumberFormat="1" applyFont="1" applyFill="1" applyBorder="1" applyAlignment="1" applyProtection="1">
      <alignment horizontal="left" vertical="top"/>
      <protection locked="0"/>
    </xf>
    <xf numFmtId="176" fontId="11" fillId="0" borderId="27" xfId="4" applyNumberFormat="1" applyFont="1" applyFill="1" applyBorder="1" applyAlignment="1" applyProtection="1">
      <alignment horizontal="center" vertical="top"/>
      <protection locked="0"/>
    </xf>
    <xf numFmtId="177" fontId="11" fillId="0" borderId="27" xfId="4" applyNumberFormat="1" applyFont="1" applyFill="1" applyBorder="1" applyAlignment="1" applyProtection="1">
      <alignment horizontal="center" vertical="top"/>
      <protection locked="0"/>
    </xf>
    <xf numFmtId="1" fontId="11" fillId="0" borderId="27" xfId="4" applyNumberFormat="1" applyFont="1" applyFill="1" applyBorder="1" applyAlignment="1" applyProtection="1">
      <alignment horizontal="center" vertical="top"/>
      <protection locked="0"/>
    </xf>
    <xf numFmtId="178" fontId="11" fillId="0" borderId="27" xfId="4" applyNumberFormat="1" applyFont="1" applyFill="1" applyBorder="1" applyAlignment="1" applyProtection="1">
      <alignment horizontal="center" vertical="top"/>
      <protection locked="0"/>
    </xf>
    <xf numFmtId="14" fontId="11" fillId="0" borderId="27" xfId="4" applyNumberFormat="1" applyFont="1" applyFill="1" applyBorder="1" applyAlignment="1" applyProtection="1">
      <alignment horizontal="left" vertical="top"/>
      <protection locked="0"/>
    </xf>
    <xf numFmtId="10" fontId="11" fillId="0" borderId="27" xfId="3" applyNumberFormat="1" applyFont="1" applyFill="1" applyBorder="1" applyAlignment="1" applyProtection="1">
      <alignment horizontal="right" vertical="top" wrapText="1"/>
      <protection locked="0"/>
    </xf>
    <xf numFmtId="10" fontId="11" fillId="0" borderId="27" xfId="3" applyNumberFormat="1" applyFont="1" applyFill="1" applyBorder="1" applyAlignment="1" applyProtection="1">
      <alignment horizontal="right" vertical="top"/>
      <protection locked="0"/>
    </xf>
    <xf numFmtId="0" fontId="11" fillId="0" borderId="28" xfId="4" applyFont="1" applyFill="1" applyBorder="1" applyAlignment="1" applyProtection="1">
      <alignment vertical="top"/>
      <protection locked="0"/>
    </xf>
    <xf numFmtId="0" fontId="11" fillId="0" borderId="28" xfId="4" applyFont="1" applyFill="1" applyBorder="1" applyAlignment="1" applyProtection="1">
      <alignment horizontal="left" vertical="top"/>
      <protection locked="0"/>
    </xf>
    <xf numFmtId="14" fontId="11" fillId="0" borderId="28" xfId="4" applyNumberFormat="1" applyFont="1" applyFill="1" applyBorder="1" applyAlignment="1" applyProtection="1">
      <alignment horizontal="center" vertical="top"/>
      <protection locked="0"/>
    </xf>
    <xf numFmtId="0" fontId="11" fillId="0" borderId="28" xfId="4" applyNumberFormat="1" applyFont="1" applyFill="1" applyBorder="1" applyAlignment="1" applyProtection="1">
      <alignment horizontal="center" vertical="top"/>
      <protection locked="0"/>
    </xf>
    <xf numFmtId="0" fontId="11" fillId="0" borderId="28" xfId="4" applyNumberFormat="1" applyFont="1" applyFill="1" applyBorder="1" applyAlignment="1" applyProtection="1">
      <alignment horizontal="left" vertical="top"/>
      <protection locked="0"/>
    </xf>
    <xf numFmtId="176" fontId="11" fillId="0" borderId="28" xfId="4" applyNumberFormat="1" applyFont="1" applyFill="1" applyBorder="1" applyAlignment="1" applyProtection="1">
      <alignment horizontal="center" vertical="top"/>
      <protection locked="0"/>
    </xf>
    <xf numFmtId="177" fontId="11" fillId="0" borderId="28" xfId="4" applyNumberFormat="1" applyFont="1" applyFill="1" applyBorder="1" applyAlignment="1" applyProtection="1">
      <alignment horizontal="center" vertical="top"/>
      <protection locked="0"/>
    </xf>
    <xf numFmtId="1" fontId="11" fillId="0" borderId="28" xfId="4" applyNumberFormat="1" applyFont="1" applyFill="1" applyBorder="1" applyAlignment="1" applyProtection="1">
      <alignment horizontal="center" vertical="top"/>
      <protection locked="0"/>
    </xf>
    <xf numFmtId="178" fontId="11" fillId="0" borderId="28" xfId="4" applyNumberFormat="1" applyFont="1" applyFill="1" applyBorder="1" applyAlignment="1" applyProtection="1">
      <alignment horizontal="center" vertical="top"/>
      <protection locked="0"/>
    </xf>
    <xf numFmtId="14" fontId="11" fillId="0" borderId="28" xfId="4" applyNumberFormat="1" applyFont="1" applyFill="1" applyBorder="1" applyAlignment="1" applyProtection="1">
      <alignment horizontal="left" vertical="top"/>
      <protection locked="0"/>
    </xf>
    <xf numFmtId="10" fontId="11" fillId="0" borderId="28" xfId="6" applyNumberFormat="1" applyFont="1" applyFill="1" applyBorder="1" applyAlignment="1" applyProtection="1">
      <alignment horizontal="right" vertical="top" wrapText="1"/>
      <protection locked="0"/>
    </xf>
    <xf numFmtId="10" fontId="11" fillId="0" borderId="28" xfId="6" applyNumberFormat="1" applyFont="1" applyFill="1" applyBorder="1" applyAlignment="1" applyProtection="1">
      <alignment horizontal="right" vertical="top"/>
      <protection locked="0"/>
    </xf>
    <xf numFmtId="0" fontId="11" fillId="0" borderId="28" xfId="4" quotePrefix="1" applyFont="1" applyFill="1" applyBorder="1" applyAlignment="1" applyProtection="1">
      <alignment horizontal="right" vertical="top"/>
      <protection locked="0"/>
    </xf>
    <xf numFmtId="0" fontId="11" fillId="0" borderId="4" xfId="4" applyFont="1" applyFill="1" applyBorder="1" applyAlignment="1" applyProtection="1">
      <alignment horizontal="left" vertical="center"/>
      <protection locked="0"/>
    </xf>
    <xf numFmtId="0" fontId="12" fillId="11" borderId="0" xfId="1" applyFont="1" applyFill="1" applyBorder="1" applyAlignment="1">
      <alignment horizontal="left" vertical="top"/>
    </xf>
    <xf numFmtId="0" fontId="6" fillId="11" borderId="0" xfId="1" applyFont="1" applyFill="1" applyBorder="1" applyAlignment="1">
      <alignment horizontal="left" vertical="top"/>
    </xf>
    <xf numFmtId="0" fontId="3" fillId="11" borderId="0" xfId="1" applyFont="1" applyFill="1" applyBorder="1" applyAlignment="1">
      <alignment horizontal="left" vertical="center"/>
    </xf>
    <xf numFmtId="0" fontId="3" fillId="11" borderId="0" xfId="1" applyFont="1" applyFill="1" applyBorder="1" applyAlignment="1">
      <alignment vertical="center"/>
    </xf>
    <xf numFmtId="14" fontId="3" fillId="11" borderId="0" xfId="1" applyNumberFormat="1" applyFont="1" applyFill="1" applyBorder="1" applyAlignment="1">
      <alignment vertical="top"/>
    </xf>
    <xf numFmtId="14" fontId="28" fillId="11" borderId="0" xfId="1" applyNumberFormat="1" applyFont="1" applyFill="1" applyBorder="1" applyAlignment="1">
      <alignment horizontal="left" vertical="top" wrapText="1"/>
    </xf>
    <xf numFmtId="0" fontId="17" fillId="11" borderId="0" xfId="1" applyFont="1" applyFill="1" applyBorder="1" applyAlignment="1">
      <alignment horizontal="center" vertical="top"/>
    </xf>
    <xf numFmtId="0" fontId="12" fillId="11" borderId="0" xfId="1" applyFont="1" applyFill="1" applyBorder="1" applyAlignment="1">
      <alignment horizontal="center" vertical="top"/>
    </xf>
    <xf numFmtId="0" fontId="3" fillId="11" borderId="0" xfId="1" applyNumberFormat="1" applyFont="1" applyFill="1" applyBorder="1" applyAlignment="1">
      <alignment horizontal="center" vertical="top"/>
    </xf>
    <xf numFmtId="14" fontId="3" fillId="11" borderId="0" xfId="1" applyNumberFormat="1" applyFont="1" applyFill="1" applyBorder="1" applyAlignment="1">
      <alignment horizontal="center" vertical="top"/>
    </xf>
    <xf numFmtId="0" fontId="12" fillId="11" borderId="0" xfId="1" applyFont="1" applyFill="1" applyBorder="1" applyAlignment="1">
      <alignment horizontal="left" vertical="center"/>
    </xf>
    <xf numFmtId="1" fontId="3" fillId="11" borderId="0" xfId="1" applyNumberFormat="1" applyFont="1" applyFill="1" applyBorder="1" applyAlignment="1">
      <alignment horizontal="center" vertical="top"/>
    </xf>
    <xf numFmtId="0" fontId="17" fillId="11" borderId="0" xfId="2" applyFont="1" applyFill="1" applyBorder="1" applyAlignment="1">
      <alignment vertical="top" wrapText="1"/>
    </xf>
    <xf numFmtId="0" fontId="17" fillId="11" borderId="0" xfId="2" applyNumberFormat="1" applyFont="1" applyFill="1" applyBorder="1" applyAlignment="1">
      <alignment vertical="top"/>
    </xf>
    <xf numFmtId="0" fontId="17" fillId="11" borderId="0" xfId="2" applyFont="1" applyFill="1" applyBorder="1" applyAlignment="1">
      <alignment vertical="top"/>
    </xf>
    <xf numFmtId="0" fontId="6" fillId="11" borderId="0" xfId="2" applyFont="1" applyFill="1" applyBorder="1" applyAlignment="1">
      <alignment horizontal="right" vertical="top"/>
    </xf>
    <xf numFmtId="0" fontId="6" fillId="11" borderId="0" xfId="2" applyFont="1" applyFill="1" applyBorder="1" applyAlignment="1">
      <alignment horizontal="right" vertical="center"/>
    </xf>
    <xf numFmtId="0" fontId="24" fillId="11" borderId="0" xfId="1" applyFont="1" applyFill="1" applyBorder="1" applyAlignment="1">
      <alignment horizontal="left" vertical="top"/>
    </xf>
    <xf numFmtId="0" fontId="25" fillId="11" borderId="0" xfId="1" applyFont="1" applyFill="1" applyBorder="1" applyAlignment="1">
      <alignment horizontal="left" vertical="top"/>
    </xf>
    <xf numFmtId="0" fontId="26" fillId="11" borderId="0" xfId="2" applyNumberFormat="1" applyFont="1" applyFill="1" applyBorder="1" applyAlignment="1">
      <alignment horizontal="right" vertical="center"/>
    </xf>
    <xf numFmtId="10" fontId="26" fillId="11" borderId="0" xfId="3" applyNumberFormat="1" applyFont="1" applyFill="1" applyBorder="1" applyAlignment="1">
      <alignment horizontal="right" vertical="center"/>
    </xf>
    <xf numFmtId="0" fontId="27" fillId="11" borderId="0" xfId="2" applyNumberFormat="1" applyFont="1" applyFill="1" applyBorder="1" applyAlignment="1">
      <alignment vertical="top"/>
    </xf>
    <xf numFmtId="0" fontId="27" fillId="11" borderId="0" xfId="2" applyNumberFormat="1" applyFont="1" applyFill="1" applyBorder="1" applyAlignment="1">
      <alignment horizontal="right" vertical="top"/>
    </xf>
    <xf numFmtId="0" fontId="39" fillId="0" borderId="0" xfId="4" applyFont="1" applyFill="1" applyBorder="1" applyAlignment="1" applyProtection="1">
      <alignment horizontal="left" vertical="center"/>
    </xf>
    <xf numFmtId="0" fontId="39" fillId="0" borderId="0" xfId="1" applyFont="1" applyFill="1" applyBorder="1" applyAlignment="1">
      <alignment horizontal="left" vertical="center"/>
    </xf>
    <xf numFmtId="180" fontId="45" fillId="5" borderId="19" xfId="4" applyNumberFormat="1" applyFont="1" applyFill="1" applyBorder="1" applyAlignment="1" applyProtection="1">
      <alignment horizontal="center" vertical="center"/>
    </xf>
    <xf numFmtId="180" fontId="45" fillId="5" borderId="21" xfId="4" applyNumberFormat="1" applyFont="1" applyFill="1" applyBorder="1" applyAlignment="1" applyProtection="1">
      <alignment horizontal="center" vertical="center"/>
    </xf>
    <xf numFmtId="0" fontId="4" fillId="11" borderId="0" xfId="1" applyFont="1" applyFill="1" applyBorder="1" applyAlignment="1">
      <alignment horizontal="left" vertical="center"/>
    </xf>
    <xf numFmtId="0" fontId="53" fillId="11" borderId="0" xfId="2" applyFont="1" applyFill="1" applyBorder="1" applyAlignment="1">
      <alignment horizontal="left" vertical="center"/>
    </xf>
    <xf numFmtId="0" fontId="54" fillId="11" borderId="0" xfId="1" applyFont="1" applyFill="1" applyBorder="1" applyAlignment="1">
      <alignment horizontal="left" vertical="center"/>
    </xf>
    <xf numFmtId="0" fontId="45" fillId="0" borderId="0" xfId="4" applyFont="1" applyFill="1" applyBorder="1" applyAlignment="1" applyProtection="1">
      <alignment horizontal="left" vertical="center"/>
    </xf>
    <xf numFmtId="0" fontId="11" fillId="0" borderId="24" xfId="4" applyFont="1" applyFill="1" applyBorder="1" applyAlignment="1" applyProtection="1">
      <alignment horizontal="left" vertical="center"/>
      <protection locked="0"/>
    </xf>
    <xf numFmtId="0" fontId="11" fillId="0" borderId="25" xfId="4" applyFont="1" applyFill="1" applyBorder="1" applyAlignment="1" applyProtection="1">
      <alignment horizontal="left" vertical="center"/>
      <protection locked="0"/>
    </xf>
    <xf numFmtId="0" fontId="11" fillId="0" borderId="26" xfId="4" applyFont="1" applyFill="1" applyBorder="1" applyAlignment="1" applyProtection="1">
      <alignment horizontal="left" vertical="center"/>
      <protection locked="0"/>
    </xf>
    <xf numFmtId="0" fontId="57" fillId="0" borderId="28" xfId="4" applyFont="1" applyFill="1" applyBorder="1" applyAlignment="1" applyProtection="1">
      <alignment horizontal="left" vertical="top"/>
      <protection locked="0"/>
    </xf>
    <xf numFmtId="0" fontId="57" fillId="0" borderId="28" xfId="4" applyNumberFormat="1" applyFont="1" applyFill="1" applyBorder="1" applyAlignment="1" applyProtection="1">
      <alignment horizontal="left" vertical="top"/>
      <protection locked="0"/>
    </xf>
    <xf numFmtId="10" fontId="11" fillId="0" borderId="28" xfId="6" applyNumberFormat="1" applyFont="1" applyFill="1" applyBorder="1" applyAlignment="1" applyProtection="1">
      <alignment horizontal="left" vertical="center"/>
      <protection locked="0"/>
    </xf>
    <xf numFmtId="0" fontId="33" fillId="0" borderId="18" xfId="0" applyFont="1" applyFill="1" applyBorder="1" applyAlignment="1" applyProtection="1">
      <alignment horizontal="left" vertical="top" wrapText="1"/>
      <protection locked="0"/>
    </xf>
    <xf numFmtId="0" fontId="49" fillId="17" borderId="0" xfId="0" applyFont="1" applyFill="1" applyAlignment="1">
      <alignment horizontal="left" vertical="top" wrapText="1"/>
    </xf>
    <xf numFmtId="0" fontId="38" fillId="11" borderId="0" xfId="2" applyFont="1" applyFill="1" applyBorder="1" applyAlignment="1" applyProtection="1">
      <alignment horizontal="right"/>
    </xf>
    <xf numFmtId="0" fontId="48" fillId="11" borderId="22" xfId="2" applyFont="1" applyFill="1" applyBorder="1" applyAlignment="1" applyProtection="1">
      <alignment horizontal="right" vertical="center"/>
    </xf>
    <xf numFmtId="0" fontId="29" fillId="0" borderId="0" xfId="0" applyFont="1" applyFill="1" applyAlignment="1">
      <alignment horizontal="left" vertical="top" wrapText="1"/>
    </xf>
    <xf numFmtId="0" fontId="33" fillId="0" borderId="15" xfId="0" applyFont="1" applyFill="1" applyBorder="1" applyAlignment="1" applyProtection="1">
      <alignment horizontal="left" vertical="center" wrapText="1"/>
      <protection locked="0"/>
    </xf>
    <xf numFmtId="0" fontId="33" fillId="0" borderId="18" xfId="0" applyFont="1" applyFill="1" applyBorder="1" applyAlignment="1" applyProtection="1">
      <alignment horizontal="left" vertical="center" wrapText="1"/>
      <protection locked="0"/>
    </xf>
    <xf numFmtId="0" fontId="50" fillId="11" borderId="0" xfId="0" applyFont="1" applyFill="1" applyBorder="1" applyAlignment="1" applyProtection="1">
      <alignment horizontal="left" vertical="center"/>
    </xf>
    <xf numFmtId="0" fontId="50" fillId="11" borderId="22" xfId="0" applyFont="1" applyFill="1" applyBorder="1" applyAlignment="1" applyProtection="1">
      <alignment horizontal="left" vertical="center"/>
    </xf>
    <xf numFmtId="176" fontId="10" fillId="10" borderId="2" xfId="4" applyNumberFormat="1" applyFont="1" applyFill="1" applyBorder="1" applyAlignment="1" applyProtection="1">
      <alignment horizontal="center" vertical="center"/>
    </xf>
    <xf numFmtId="0" fontId="26" fillId="11" borderId="0" xfId="3" applyNumberFormat="1" applyFont="1" applyFill="1" applyBorder="1" applyAlignment="1">
      <alignment horizontal="center" vertical="center" wrapText="1"/>
    </xf>
    <xf numFmtId="14" fontId="46" fillId="10" borderId="2" xfId="4" applyNumberFormat="1" applyFont="1" applyFill="1" applyBorder="1" applyAlignment="1" applyProtection="1">
      <alignment horizontal="center" vertical="center"/>
    </xf>
    <xf numFmtId="14" fontId="10" fillId="10" borderId="2" xfId="4" applyNumberFormat="1" applyFont="1" applyFill="1" applyBorder="1" applyAlignment="1" applyProtection="1">
      <alignment horizontal="center" vertical="center"/>
    </xf>
    <xf numFmtId="176" fontId="10" fillId="5" borderId="2" xfId="4" applyNumberFormat="1" applyFont="1" applyFill="1" applyBorder="1" applyAlignment="1" applyProtection="1">
      <alignment horizontal="center" vertical="center" wrapText="1"/>
    </xf>
    <xf numFmtId="0" fontId="10" fillId="10" borderId="2" xfId="4" applyNumberFormat="1" applyFont="1" applyFill="1" applyBorder="1" applyAlignment="1" applyProtection="1">
      <alignment horizontal="center" vertical="center"/>
    </xf>
    <xf numFmtId="10" fontId="10" fillId="10" borderId="3" xfId="3" applyNumberFormat="1" applyFont="1" applyFill="1" applyBorder="1" applyAlignment="1" applyProtection="1">
      <alignment horizontal="center" vertical="center" wrapText="1"/>
    </xf>
    <xf numFmtId="0" fontId="10" fillId="10" borderId="1" xfId="4" applyFont="1" applyFill="1" applyBorder="1" applyAlignment="1" applyProtection="1">
      <alignment horizontal="center" vertical="center" wrapText="1"/>
    </xf>
    <xf numFmtId="0" fontId="10" fillId="10" borderId="0" xfId="4" applyFont="1" applyFill="1" applyBorder="1" applyAlignment="1" applyProtection="1">
      <alignment horizontal="center" vertical="center" wrapText="1"/>
    </xf>
    <xf numFmtId="0" fontId="10" fillId="10" borderId="2" xfId="4" applyFont="1" applyFill="1" applyBorder="1" applyAlignment="1" applyProtection="1">
      <alignment horizontal="center" vertical="center"/>
    </xf>
    <xf numFmtId="0" fontId="10" fillId="10" borderId="16" xfId="4" applyFont="1" applyFill="1" applyBorder="1" applyAlignment="1" applyProtection="1">
      <alignment horizontal="center" vertical="center"/>
    </xf>
    <xf numFmtId="0" fontId="10" fillId="10" borderId="2" xfId="4" applyFont="1" applyFill="1" applyBorder="1" applyAlignment="1" applyProtection="1">
      <alignment horizontal="center" vertical="center" wrapText="1"/>
    </xf>
    <xf numFmtId="0" fontId="10" fillId="5" borderId="2" xfId="4" applyFont="1" applyFill="1" applyBorder="1" applyAlignment="1" applyProtection="1">
      <alignment horizontal="center" vertical="center"/>
    </xf>
    <xf numFmtId="0" fontId="10" fillId="10" borderId="3" xfId="4" applyFont="1" applyFill="1" applyBorder="1" applyAlignment="1" applyProtection="1">
      <alignment horizontal="center" vertical="center"/>
    </xf>
    <xf numFmtId="0" fontId="10" fillId="10" borderId="0" xfId="4" applyFont="1" applyFill="1" applyBorder="1" applyAlignment="1" applyProtection="1">
      <alignment horizontal="center" vertical="center"/>
    </xf>
    <xf numFmtId="176" fontId="10" fillId="5" borderId="2" xfId="4" applyNumberFormat="1" applyFont="1" applyFill="1" applyBorder="1" applyAlignment="1" applyProtection="1">
      <alignment horizontal="center" vertical="top" wrapText="1"/>
    </xf>
    <xf numFmtId="14" fontId="10" fillId="10" borderId="2" xfId="4" applyNumberFormat="1" applyFont="1" applyFill="1" applyBorder="1" applyAlignment="1" applyProtection="1">
      <alignment horizontal="center" vertical="center" wrapText="1"/>
    </xf>
    <xf numFmtId="0" fontId="10" fillId="5" borderId="2" xfId="4" applyNumberFormat="1" applyFont="1" applyFill="1" applyBorder="1" applyAlignment="1" applyProtection="1">
      <alignment horizontal="center" vertical="center" wrapText="1"/>
    </xf>
    <xf numFmtId="10" fontId="10" fillId="5" borderId="2" xfId="3" applyNumberFormat="1" applyFont="1" applyFill="1" applyBorder="1" applyAlignment="1" applyProtection="1">
      <alignment horizontal="center" vertical="center" wrapText="1"/>
    </xf>
    <xf numFmtId="1" fontId="10" fillId="5" borderId="2" xfId="4" applyNumberFormat="1" applyFont="1" applyFill="1" applyBorder="1" applyAlignment="1" applyProtection="1">
      <alignment horizontal="center" vertical="center" wrapText="1"/>
    </xf>
    <xf numFmtId="177" fontId="10" fillId="5" borderId="2" xfId="4" applyNumberFormat="1" applyFont="1" applyFill="1" applyBorder="1" applyAlignment="1" applyProtection="1">
      <alignment horizontal="center" vertical="center" wrapText="1"/>
    </xf>
    <xf numFmtId="0" fontId="44" fillId="5" borderId="19" xfId="1" applyFont="1" applyFill="1" applyBorder="1" applyAlignment="1">
      <alignment horizontal="left" vertical="center" wrapText="1"/>
    </xf>
    <xf numFmtId="0" fontId="44" fillId="5" borderId="21" xfId="1" applyFont="1" applyFill="1" applyBorder="1" applyAlignment="1">
      <alignment horizontal="left" vertical="center"/>
    </xf>
    <xf numFmtId="0" fontId="44" fillId="5" borderId="21" xfId="1" applyFont="1" applyFill="1" applyBorder="1" applyAlignment="1">
      <alignment horizontal="left" vertical="center" wrapText="1"/>
    </xf>
    <xf numFmtId="0" fontId="44" fillId="5" borderId="20" xfId="1" applyFont="1" applyFill="1" applyBorder="1" applyAlignment="1">
      <alignment horizontal="left" vertical="center"/>
    </xf>
    <xf numFmtId="0" fontId="15" fillId="0" borderId="0" xfId="4" applyFont="1" applyFill="1" applyBorder="1" applyAlignment="1" applyProtection="1">
      <alignment horizontal="left" vertical="center" wrapText="1"/>
      <protection locked="0"/>
    </xf>
    <xf numFmtId="0" fontId="15" fillId="0" borderId="0" xfId="4" applyFont="1" applyFill="1" applyBorder="1" applyAlignment="1" applyProtection="1">
      <alignment horizontal="left" vertical="center"/>
      <protection locked="0"/>
    </xf>
    <xf numFmtId="0" fontId="12" fillId="0" borderId="0" xfId="1" applyFont="1" applyFill="1" applyBorder="1" applyAlignment="1">
      <alignment horizontal="left" vertical="center"/>
    </xf>
    <xf numFmtId="0" fontId="9" fillId="0" borderId="0" xfId="1" applyFont="1" applyFill="1" applyBorder="1" applyAlignment="1">
      <alignment horizontal="left" vertical="center"/>
    </xf>
    <xf numFmtId="14" fontId="16" fillId="3" borderId="0" xfId="4" applyNumberFormat="1" applyFont="1" applyFill="1" applyBorder="1" applyAlignment="1" applyProtection="1">
      <alignment horizontal="right" vertical="center"/>
    </xf>
    <xf numFmtId="0" fontId="56" fillId="0" borderId="0" xfId="4" applyFont="1" applyFill="1" applyBorder="1" applyAlignment="1" applyProtection="1">
      <alignment horizontal="left" vertical="center" wrapText="1"/>
      <protection locked="0"/>
    </xf>
    <xf numFmtId="14" fontId="14" fillId="3" borderId="0" xfId="4" applyNumberFormat="1" applyFont="1" applyFill="1" applyBorder="1" applyAlignment="1" applyProtection="1">
      <alignment horizontal="left" vertical="top" wrapText="1"/>
    </xf>
    <xf numFmtId="14" fontId="19" fillId="8" borderId="14" xfId="4" applyNumberFormat="1" applyFont="1" applyFill="1" applyBorder="1" applyAlignment="1" applyProtection="1">
      <alignment horizontal="center" vertical="center"/>
      <protection locked="0"/>
    </xf>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5">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3399FF"/>
      <color rgb="FF2592FF"/>
      <color rgb="FF00A44A"/>
      <color rgb="FFF2F2FF"/>
      <color rgb="FFFF3300"/>
      <color rgb="FFFF6F0D"/>
      <color rgb="FFED7D31"/>
      <color rgb="FF198CFF"/>
      <color rgb="FFFF6600"/>
      <color rgb="FFFA6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AnalysisReport!$F$6</c:f>
              <c:strCache>
                <c:ptCount val="1"/>
                <c:pt idx="0">
                  <c:v>계획작업량 진척율</c:v>
                </c:pt>
              </c:strCache>
            </c:strRef>
          </c:tx>
          <c:cat>
            <c:numRef>
              <c:f>AnalysisReport!$C$7:$C$28</c:f>
              <c:numCache>
                <c:formatCode>m/d/yyyy</c:formatCode>
                <c:ptCount val="22"/>
                <c:pt idx="0">
                  <c:v>43701</c:v>
                </c:pt>
                <c:pt idx="1">
                  <c:v>43708</c:v>
                </c:pt>
                <c:pt idx="2">
                  <c:v>43715</c:v>
                </c:pt>
                <c:pt idx="3">
                  <c:v>43722</c:v>
                </c:pt>
                <c:pt idx="4">
                  <c:v>43729</c:v>
                </c:pt>
                <c:pt idx="5">
                  <c:v>43736</c:v>
                </c:pt>
                <c:pt idx="6">
                  <c:v>43743</c:v>
                </c:pt>
                <c:pt idx="7">
                  <c:v>43750</c:v>
                </c:pt>
                <c:pt idx="8">
                  <c:v>43757</c:v>
                </c:pt>
                <c:pt idx="9">
                  <c:v>43764</c:v>
                </c:pt>
                <c:pt idx="10">
                  <c:v>43771</c:v>
                </c:pt>
                <c:pt idx="11">
                  <c:v>43778</c:v>
                </c:pt>
                <c:pt idx="12">
                  <c:v>43785</c:v>
                </c:pt>
                <c:pt idx="13">
                  <c:v>43792</c:v>
                </c:pt>
                <c:pt idx="14">
                  <c:v>43799</c:v>
                </c:pt>
                <c:pt idx="15">
                  <c:v>43806</c:v>
                </c:pt>
                <c:pt idx="16">
                  <c:v>43813</c:v>
                </c:pt>
                <c:pt idx="17">
                  <c:v>43820</c:v>
                </c:pt>
                <c:pt idx="18">
                  <c:v>43827</c:v>
                </c:pt>
                <c:pt idx="19">
                  <c:v>43834</c:v>
                </c:pt>
                <c:pt idx="20">
                  <c:v>43841</c:v>
                </c:pt>
                <c:pt idx="21">
                  <c:v>43848</c:v>
                </c:pt>
              </c:numCache>
            </c:numRef>
          </c:cat>
          <c:val>
            <c:numRef>
              <c:f>AnalysisReport!$F$7:$F$28</c:f>
              <c:numCache>
                <c:formatCode>0.00%</c:formatCode>
                <c:ptCount val="22"/>
                <c:pt idx="0">
                  <c:v>1.444043321299639E-2</c:v>
                </c:pt>
                <c:pt idx="1">
                  <c:v>6.1371841155234655E-2</c:v>
                </c:pt>
                <c:pt idx="2">
                  <c:v>0.11552346570397112</c:v>
                </c:pt>
                <c:pt idx="3">
                  <c:v>0.13718411552346571</c:v>
                </c:pt>
                <c:pt idx="4">
                  <c:v>0.16967509025270758</c:v>
                </c:pt>
                <c:pt idx="5">
                  <c:v>0.22021660649819494</c:v>
                </c:pt>
                <c:pt idx="6">
                  <c:v>0.2563176895306859</c:v>
                </c:pt>
                <c:pt idx="7">
                  <c:v>0.27436823104693142</c:v>
                </c:pt>
                <c:pt idx="8">
                  <c:v>0.3176895306859206</c:v>
                </c:pt>
                <c:pt idx="9">
                  <c:v>0.37906137184115524</c:v>
                </c:pt>
                <c:pt idx="10">
                  <c:v>0.44404332129963897</c:v>
                </c:pt>
                <c:pt idx="11">
                  <c:v>0.50180505415162457</c:v>
                </c:pt>
                <c:pt idx="12">
                  <c:v>0.55595667870036103</c:v>
                </c:pt>
                <c:pt idx="13">
                  <c:v>0.62093862815884482</c:v>
                </c:pt>
                <c:pt idx="14">
                  <c:v>0.70036101083032487</c:v>
                </c:pt>
                <c:pt idx="15">
                  <c:v>0.79061371841155237</c:v>
                </c:pt>
                <c:pt idx="16">
                  <c:v>0.88086642599277976</c:v>
                </c:pt>
                <c:pt idx="17">
                  <c:v>0.89891696750902528</c:v>
                </c:pt>
                <c:pt idx="18">
                  <c:v>0.9422382671480144</c:v>
                </c:pt>
                <c:pt idx="19">
                  <c:v>0.95667870036101088</c:v>
                </c:pt>
                <c:pt idx="20">
                  <c:v>0.97472924187725629</c:v>
                </c:pt>
                <c:pt idx="21">
                  <c:v>1</c:v>
                </c:pt>
              </c:numCache>
            </c:numRef>
          </c:val>
          <c:smooth val="0"/>
          <c:extLst>
            <c:ext xmlns:c16="http://schemas.microsoft.com/office/drawing/2014/chart" uri="{C3380CC4-5D6E-409C-BE32-E72D297353CC}">
              <c16:uniqueId val="{00000000-1574-4CC5-9CDB-CE378287169E}"/>
            </c:ext>
          </c:extLst>
        </c:ser>
        <c:ser>
          <c:idx val="1"/>
          <c:order val="1"/>
          <c:tx>
            <c:strRef>
              <c:f>AnalysisReport!$I$6</c:f>
              <c:strCache>
                <c:ptCount val="1"/>
                <c:pt idx="0">
                  <c:v>실적기성 진척율</c:v>
                </c:pt>
              </c:strCache>
            </c:strRef>
          </c:tx>
          <c:cat>
            <c:numRef>
              <c:f>AnalysisReport!$C$7:$C$28</c:f>
              <c:numCache>
                <c:formatCode>m/d/yyyy</c:formatCode>
                <c:ptCount val="22"/>
                <c:pt idx="0">
                  <c:v>43701</c:v>
                </c:pt>
                <c:pt idx="1">
                  <c:v>43708</c:v>
                </c:pt>
                <c:pt idx="2">
                  <c:v>43715</c:v>
                </c:pt>
                <c:pt idx="3">
                  <c:v>43722</c:v>
                </c:pt>
                <c:pt idx="4">
                  <c:v>43729</c:v>
                </c:pt>
                <c:pt idx="5">
                  <c:v>43736</c:v>
                </c:pt>
                <c:pt idx="6">
                  <c:v>43743</c:v>
                </c:pt>
                <c:pt idx="7">
                  <c:v>43750</c:v>
                </c:pt>
                <c:pt idx="8">
                  <c:v>43757</c:v>
                </c:pt>
                <c:pt idx="9">
                  <c:v>43764</c:v>
                </c:pt>
                <c:pt idx="10">
                  <c:v>43771</c:v>
                </c:pt>
                <c:pt idx="11">
                  <c:v>43778</c:v>
                </c:pt>
                <c:pt idx="12">
                  <c:v>43785</c:v>
                </c:pt>
                <c:pt idx="13">
                  <c:v>43792</c:v>
                </c:pt>
                <c:pt idx="14">
                  <c:v>43799</c:v>
                </c:pt>
                <c:pt idx="15">
                  <c:v>43806</c:v>
                </c:pt>
                <c:pt idx="16">
                  <c:v>43813</c:v>
                </c:pt>
                <c:pt idx="17">
                  <c:v>43820</c:v>
                </c:pt>
                <c:pt idx="18">
                  <c:v>43827</c:v>
                </c:pt>
                <c:pt idx="19">
                  <c:v>43834</c:v>
                </c:pt>
                <c:pt idx="20">
                  <c:v>43841</c:v>
                </c:pt>
                <c:pt idx="21">
                  <c:v>43848</c:v>
                </c:pt>
              </c:numCache>
            </c:numRef>
          </c:cat>
          <c:val>
            <c:numRef>
              <c:f>AnalysisReport!$I$7:$I$28</c:f>
              <c:numCache>
                <c:formatCode>0.00%</c:formatCode>
                <c:ptCount val="22"/>
                <c:pt idx="0">
                  <c:v>1.444043321299639E-2</c:v>
                </c:pt>
                <c:pt idx="1">
                  <c:v>5.4151624548736461E-2</c:v>
                </c:pt>
                <c:pt idx="2">
                  <c:v>9.6028880866425997E-2</c:v>
                </c:pt>
                <c:pt idx="3">
                  <c:v>0.11768953068592058</c:v>
                </c:pt>
                <c:pt idx="4">
                  <c:v>0.12851985559566786</c:v>
                </c:pt>
                <c:pt idx="5">
                  <c:v>0.12851985559566786</c:v>
                </c:pt>
              </c:numCache>
            </c:numRef>
          </c:val>
          <c:smooth val="0"/>
          <c:extLst>
            <c:ext xmlns:c16="http://schemas.microsoft.com/office/drawing/2014/chart" uri="{C3380CC4-5D6E-409C-BE32-E72D297353CC}">
              <c16:uniqueId val="{00000001-1574-4CC5-9CDB-CE378287169E}"/>
            </c:ext>
          </c:extLst>
        </c:ser>
        <c:ser>
          <c:idx val="2"/>
          <c:order val="2"/>
          <c:tx>
            <c:strRef>
              <c:f>AnalysisReport!$L$6</c:f>
              <c:strCache>
                <c:ptCount val="1"/>
                <c:pt idx="0">
                  <c:v>실제작업량 진척율</c:v>
                </c:pt>
              </c:strCache>
            </c:strRef>
          </c:tx>
          <c:cat>
            <c:numRef>
              <c:f>AnalysisReport!$C$7:$C$28</c:f>
              <c:numCache>
                <c:formatCode>m/d/yyyy</c:formatCode>
                <c:ptCount val="22"/>
                <c:pt idx="0">
                  <c:v>43701</c:v>
                </c:pt>
                <c:pt idx="1">
                  <c:v>43708</c:v>
                </c:pt>
                <c:pt idx="2">
                  <c:v>43715</c:v>
                </c:pt>
                <c:pt idx="3">
                  <c:v>43722</c:v>
                </c:pt>
                <c:pt idx="4">
                  <c:v>43729</c:v>
                </c:pt>
                <c:pt idx="5">
                  <c:v>43736</c:v>
                </c:pt>
                <c:pt idx="6">
                  <c:v>43743</c:v>
                </c:pt>
                <c:pt idx="7">
                  <c:v>43750</c:v>
                </c:pt>
                <c:pt idx="8">
                  <c:v>43757</c:v>
                </c:pt>
                <c:pt idx="9">
                  <c:v>43764</c:v>
                </c:pt>
                <c:pt idx="10">
                  <c:v>43771</c:v>
                </c:pt>
                <c:pt idx="11">
                  <c:v>43778</c:v>
                </c:pt>
                <c:pt idx="12">
                  <c:v>43785</c:v>
                </c:pt>
                <c:pt idx="13">
                  <c:v>43792</c:v>
                </c:pt>
                <c:pt idx="14">
                  <c:v>43799</c:v>
                </c:pt>
                <c:pt idx="15">
                  <c:v>43806</c:v>
                </c:pt>
                <c:pt idx="16">
                  <c:v>43813</c:v>
                </c:pt>
                <c:pt idx="17">
                  <c:v>43820</c:v>
                </c:pt>
                <c:pt idx="18">
                  <c:v>43827</c:v>
                </c:pt>
                <c:pt idx="19">
                  <c:v>43834</c:v>
                </c:pt>
                <c:pt idx="20">
                  <c:v>43841</c:v>
                </c:pt>
                <c:pt idx="21">
                  <c:v>43848</c:v>
                </c:pt>
              </c:numCache>
            </c:numRef>
          </c:cat>
          <c:val>
            <c:numRef>
              <c:f>AnalysisReport!$L$7:$L$28</c:f>
              <c:numCache>
                <c:formatCode>0.00%</c:formatCode>
                <c:ptCount val="22"/>
                <c:pt idx="0">
                  <c:v>0</c:v>
                </c:pt>
                <c:pt idx="1">
                  <c:v>0</c:v>
                </c:pt>
                <c:pt idx="2">
                  <c:v>0</c:v>
                </c:pt>
                <c:pt idx="3">
                  <c:v>0</c:v>
                </c:pt>
                <c:pt idx="4">
                  <c:v>0</c:v>
                </c:pt>
                <c:pt idx="5">
                  <c:v>0</c:v>
                </c:pt>
              </c:numCache>
            </c:numRef>
          </c:val>
          <c:smooth val="0"/>
          <c:extLst>
            <c:ext xmlns:c16="http://schemas.microsoft.com/office/drawing/2014/chart" uri="{C3380CC4-5D6E-409C-BE32-E72D297353CC}">
              <c16:uniqueId val="{00000002-1574-4CC5-9CDB-CE378287169E}"/>
            </c:ext>
          </c:extLst>
        </c:ser>
        <c:dLbls>
          <c:showLegendKey val="0"/>
          <c:showVal val="0"/>
          <c:showCatName val="0"/>
          <c:showSerName val="0"/>
          <c:showPercent val="0"/>
          <c:showBubbleSize val="0"/>
        </c:dLbls>
        <c:marker val="1"/>
        <c:smooth val="0"/>
        <c:axId val="2084084864"/>
        <c:axId val="2084064240"/>
      </c:lineChart>
      <c:dateAx>
        <c:axId val="2084084864"/>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2084064240"/>
        <c:crosses val="autoZero"/>
        <c:auto val="1"/>
        <c:lblOffset val="100"/>
        <c:baseTimeUnit val="days"/>
      </c:dateAx>
      <c:valAx>
        <c:axId val="2084064240"/>
        <c:scaling>
          <c:orientation val="minMax"/>
        </c:scaling>
        <c:delete val="0"/>
        <c:axPos val="l"/>
        <c:majorGridlines/>
        <c:numFmt formatCode="0.00%" sourceLinked="1"/>
        <c:majorTickMark val="out"/>
        <c:minorTickMark val="none"/>
        <c:tickLblPos val="nextTo"/>
        <c:crossAx val="2084084864"/>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62049</xdr:colOff>
      <xdr:row>3</xdr:row>
      <xdr:rowOff>76073</xdr:rowOff>
    </xdr:from>
    <xdr:to>
      <xdr:col>37</xdr:col>
      <xdr:colOff>62049</xdr:colOff>
      <xdr:row>68</xdr:row>
      <xdr:rowOff>0</xdr:rowOff>
    </xdr:to>
    <xdr:cxnSp macro="">
      <xdr:nvCxnSpPr>
        <xdr:cNvPr id="2" name="직선 화살표 연결선 1"/>
        <xdr:cNvCxnSpPr/>
      </xdr:nvCxnSpPr>
      <xdr:spPr>
        <a:xfrm>
          <a:off x="11194869" y="761873"/>
          <a:ext cx="0" cy="97537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41365</xdr:colOff>
      <xdr:row>67</xdr:row>
      <xdr:rowOff>19050</xdr:rowOff>
    </xdr:from>
    <xdr:to>
      <xdr:col>37</xdr:col>
      <xdr:colOff>84001</xdr:colOff>
      <xdr:row>67</xdr:row>
      <xdr:rowOff>133350</xdr:rowOff>
    </xdr:to>
    <xdr:sp macro="" textlink="">
      <xdr:nvSpPr>
        <xdr:cNvPr id="3" name="64"/>
        <xdr:cNvSpPr/>
      </xdr:nvSpPr>
      <xdr:spPr>
        <a:xfrm>
          <a:off x="11174185" y="103746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41365</xdr:colOff>
      <xdr:row>67</xdr:row>
      <xdr:rowOff>76200</xdr:rowOff>
    </xdr:from>
    <xdr:to>
      <xdr:col>37</xdr:col>
      <xdr:colOff>82731</xdr:colOff>
      <xdr:row>67</xdr:row>
      <xdr:rowOff>76200</xdr:rowOff>
    </xdr:to>
    <xdr:cxnSp macro="">
      <xdr:nvCxnSpPr>
        <xdr:cNvPr id="4" name="직선 화살표 연결선 3"/>
        <xdr:cNvCxnSpPr/>
      </xdr:nvCxnSpPr>
      <xdr:spPr>
        <a:xfrm>
          <a:off x="11174185" y="104317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66</xdr:row>
      <xdr:rowOff>19050</xdr:rowOff>
    </xdr:from>
    <xdr:to>
      <xdr:col>37</xdr:col>
      <xdr:colOff>63318</xdr:colOff>
      <xdr:row>66</xdr:row>
      <xdr:rowOff>133350</xdr:rowOff>
    </xdr:to>
    <xdr:sp macro="" textlink="">
      <xdr:nvSpPr>
        <xdr:cNvPr id="5" name="63"/>
        <xdr:cNvSpPr/>
      </xdr:nvSpPr>
      <xdr:spPr>
        <a:xfrm>
          <a:off x="11153503" y="102222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66</xdr:row>
      <xdr:rowOff>76200</xdr:rowOff>
    </xdr:from>
    <xdr:to>
      <xdr:col>37</xdr:col>
      <xdr:colOff>62049</xdr:colOff>
      <xdr:row>66</xdr:row>
      <xdr:rowOff>76200</xdr:rowOff>
    </xdr:to>
    <xdr:cxnSp macro="">
      <xdr:nvCxnSpPr>
        <xdr:cNvPr id="6" name="직선 화살표 연결선 5"/>
        <xdr:cNvCxnSpPr/>
      </xdr:nvCxnSpPr>
      <xdr:spPr>
        <a:xfrm>
          <a:off x="11153503" y="102793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65</xdr:row>
      <xdr:rowOff>19050</xdr:rowOff>
    </xdr:from>
    <xdr:to>
      <xdr:col>37</xdr:col>
      <xdr:colOff>63318</xdr:colOff>
      <xdr:row>65</xdr:row>
      <xdr:rowOff>133350</xdr:rowOff>
    </xdr:to>
    <xdr:sp macro="" textlink="">
      <xdr:nvSpPr>
        <xdr:cNvPr id="7" name="62"/>
        <xdr:cNvSpPr/>
      </xdr:nvSpPr>
      <xdr:spPr>
        <a:xfrm>
          <a:off x="11153503" y="100698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65</xdr:row>
      <xdr:rowOff>76200</xdr:rowOff>
    </xdr:from>
    <xdr:to>
      <xdr:col>37</xdr:col>
      <xdr:colOff>62049</xdr:colOff>
      <xdr:row>65</xdr:row>
      <xdr:rowOff>76200</xdr:rowOff>
    </xdr:to>
    <xdr:cxnSp macro="">
      <xdr:nvCxnSpPr>
        <xdr:cNvPr id="8" name="직선 화살표 연결선 7"/>
        <xdr:cNvCxnSpPr/>
      </xdr:nvCxnSpPr>
      <xdr:spPr>
        <a:xfrm>
          <a:off x="11153503" y="101269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64</xdr:row>
      <xdr:rowOff>19050</xdr:rowOff>
    </xdr:from>
    <xdr:to>
      <xdr:col>37</xdr:col>
      <xdr:colOff>84001</xdr:colOff>
      <xdr:row>64</xdr:row>
      <xdr:rowOff>133350</xdr:rowOff>
    </xdr:to>
    <xdr:sp macro="" textlink="">
      <xdr:nvSpPr>
        <xdr:cNvPr id="9" name="61"/>
        <xdr:cNvSpPr/>
      </xdr:nvSpPr>
      <xdr:spPr>
        <a:xfrm>
          <a:off x="11153503" y="9917430"/>
          <a:ext cx="6331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64</xdr:row>
      <xdr:rowOff>76200</xdr:rowOff>
    </xdr:from>
    <xdr:to>
      <xdr:col>37</xdr:col>
      <xdr:colOff>82731</xdr:colOff>
      <xdr:row>64</xdr:row>
      <xdr:rowOff>76200</xdr:rowOff>
    </xdr:to>
    <xdr:cxnSp macro="">
      <xdr:nvCxnSpPr>
        <xdr:cNvPr id="10" name="직선 화살표 연결선 9"/>
        <xdr:cNvCxnSpPr/>
      </xdr:nvCxnSpPr>
      <xdr:spPr>
        <a:xfrm>
          <a:off x="11153503" y="99745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63</xdr:row>
      <xdr:rowOff>19050</xdr:rowOff>
    </xdr:from>
    <xdr:to>
      <xdr:col>37</xdr:col>
      <xdr:colOff>84001</xdr:colOff>
      <xdr:row>63</xdr:row>
      <xdr:rowOff>133350</xdr:rowOff>
    </xdr:to>
    <xdr:sp macro="" textlink="">
      <xdr:nvSpPr>
        <xdr:cNvPr id="11" name="60"/>
        <xdr:cNvSpPr/>
      </xdr:nvSpPr>
      <xdr:spPr>
        <a:xfrm>
          <a:off x="11153503" y="9765030"/>
          <a:ext cx="6331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63</xdr:row>
      <xdr:rowOff>76200</xdr:rowOff>
    </xdr:from>
    <xdr:to>
      <xdr:col>37</xdr:col>
      <xdr:colOff>82731</xdr:colOff>
      <xdr:row>63</xdr:row>
      <xdr:rowOff>76200</xdr:rowOff>
    </xdr:to>
    <xdr:cxnSp macro="">
      <xdr:nvCxnSpPr>
        <xdr:cNvPr id="12" name="직선 화살표 연결선 11"/>
        <xdr:cNvCxnSpPr/>
      </xdr:nvCxnSpPr>
      <xdr:spPr>
        <a:xfrm>
          <a:off x="11153503" y="98221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62</xdr:row>
      <xdr:rowOff>19050</xdr:rowOff>
    </xdr:from>
    <xdr:to>
      <xdr:col>37</xdr:col>
      <xdr:colOff>84001</xdr:colOff>
      <xdr:row>62</xdr:row>
      <xdr:rowOff>133350</xdr:rowOff>
    </xdr:to>
    <xdr:sp macro="" textlink="">
      <xdr:nvSpPr>
        <xdr:cNvPr id="13" name="59"/>
        <xdr:cNvSpPr/>
      </xdr:nvSpPr>
      <xdr:spPr>
        <a:xfrm>
          <a:off x="11153503" y="9612630"/>
          <a:ext cx="6331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62</xdr:row>
      <xdr:rowOff>76200</xdr:rowOff>
    </xdr:from>
    <xdr:to>
      <xdr:col>37</xdr:col>
      <xdr:colOff>82731</xdr:colOff>
      <xdr:row>62</xdr:row>
      <xdr:rowOff>76200</xdr:rowOff>
    </xdr:to>
    <xdr:cxnSp macro="">
      <xdr:nvCxnSpPr>
        <xdr:cNvPr id="14" name="직선 화살표 연결선 13"/>
        <xdr:cNvCxnSpPr/>
      </xdr:nvCxnSpPr>
      <xdr:spPr>
        <a:xfrm>
          <a:off x="11153503" y="96697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61</xdr:row>
      <xdr:rowOff>19050</xdr:rowOff>
    </xdr:from>
    <xdr:to>
      <xdr:col>37</xdr:col>
      <xdr:colOff>63318</xdr:colOff>
      <xdr:row>61</xdr:row>
      <xdr:rowOff>133350</xdr:rowOff>
    </xdr:to>
    <xdr:sp macro="" textlink="">
      <xdr:nvSpPr>
        <xdr:cNvPr id="15" name="58"/>
        <xdr:cNvSpPr/>
      </xdr:nvSpPr>
      <xdr:spPr>
        <a:xfrm>
          <a:off x="11153503" y="94602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61</xdr:row>
      <xdr:rowOff>76200</xdr:rowOff>
    </xdr:from>
    <xdr:to>
      <xdr:col>37</xdr:col>
      <xdr:colOff>62049</xdr:colOff>
      <xdr:row>61</xdr:row>
      <xdr:rowOff>76200</xdr:rowOff>
    </xdr:to>
    <xdr:cxnSp macro="">
      <xdr:nvCxnSpPr>
        <xdr:cNvPr id="16" name="직선 화살표 연결선 15"/>
        <xdr:cNvCxnSpPr/>
      </xdr:nvCxnSpPr>
      <xdr:spPr>
        <a:xfrm>
          <a:off x="11153503" y="95173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60</xdr:row>
      <xdr:rowOff>19050</xdr:rowOff>
    </xdr:from>
    <xdr:to>
      <xdr:col>37</xdr:col>
      <xdr:colOff>63318</xdr:colOff>
      <xdr:row>60</xdr:row>
      <xdr:rowOff>133350</xdr:rowOff>
    </xdr:to>
    <xdr:sp macro="" textlink="">
      <xdr:nvSpPr>
        <xdr:cNvPr id="17" name="57"/>
        <xdr:cNvSpPr/>
      </xdr:nvSpPr>
      <xdr:spPr>
        <a:xfrm>
          <a:off x="11153503" y="9307830"/>
          <a:ext cx="4263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60</xdr:row>
      <xdr:rowOff>76200</xdr:rowOff>
    </xdr:from>
    <xdr:to>
      <xdr:col>37</xdr:col>
      <xdr:colOff>62049</xdr:colOff>
      <xdr:row>60</xdr:row>
      <xdr:rowOff>76200</xdr:rowOff>
    </xdr:to>
    <xdr:cxnSp macro="">
      <xdr:nvCxnSpPr>
        <xdr:cNvPr id="18" name="직선 화살표 연결선 17"/>
        <xdr:cNvCxnSpPr/>
      </xdr:nvCxnSpPr>
      <xdr:spPr>
        <a:xfrm>
          <a:off x="11153503" y="93649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59</xdr:row>
      <xdr:rowOff>19050</xdr:rowOff>
    </xdr:from>
    <xdr:to>
      <xdr:col>37</xdr:col>
      <xdr:colOff>84001</xdr:colOff>
      <xdr:row>59</xdr:row>
      <xdr:rowOff>133350</xdr:rowOff>
    </xdr:to>
    <xdr:sp macro="" textlink="">
      <xdr:nvSpPr>
        <xdr:cNvPr id="19" name="56"/>
        <xdr:cNvSpPr/>
      </xdr:nvSpPr>
      <xdr:spPr>
        <a:xfrm>
          <a:off x="11153503" y="9155430"/>
          <a:ext cx="6331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59</xdr:row>
      <xdr:rowOff>76200</xdr:rowOff>
    </xdr:from>
    <xdr:to>
      <xdr:col>37</xdr:col>
      <xdr:colOff>82731</xdr:colOff>
      <xdr:row>59</xdr:row>
      <xdr:rowOff>76200</xdr:rowOff>
    </xdr:to>
    <xdr:cxnSp macro="">
      <xdr:nvCxnSpPr>
        <xdr:cNvPr id="20" name="직선 화살표 연결선 19"/>
        <xdr:cNvCxnSpPr/>
      </xdr:nvCxnSpPr>
      <xdr:spPr>
        <a:xfrm>
          <a:off x="11153503" y="92125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58</xdr:row>
      <xdr:rowOff>19050</xdr:rowOff>
    </xdr:from>
    <xdr:to>
      <xdr:col>36</xdr:col>
      <xdr:colOff>125367</xdr:colOff>
      <xdr:row>58</xdr:row>
      <xdr:rowOff>133350</xdr:rowOff>
    </xdr:to>
    <xdr:sp macro="" textlink="">
      <xdr:nvSpPr>
        <xdr:cNvPr id="21" name="55"/>
        <xdr:cNvSpPr/>
      </xdr:nvSpPr>
      <xdr:spPr>
        <a:xfrm>
          <a:off x="11008723" y="90030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58</xdr:row>
      <xdr:rowOff>76200</xdr:rowOff>
    </xdr:from>
    <xdr:to>
      <xdr:col>36</xdr:col>
      <xdr:colOff>124097</xdr:colOff>
      <xdr:row>58</xdr:row>
      <xdr:rowOff>76200</xdr:rowOff>
    </xdr:to>
    <xdr:cxnSp macro="">
      <xdr:nvCxnSpPr>
        <xdr:cNvPr id="22" name="직선 화살표 연결선 21"/>
        <xdr:cNvCxnSpPr/>
      </xdr:nvCxnSpPr>
      <xdr:spPr>
        <a:xfrm>
          <a:off x="11008723" y="906018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57</xdr:row>
      <xdr:rowOff>19050</xdr:rowOff>
    </xdr:from>
    <xdr:to>
      <xdr:col>36</xdr:col>
      <xdr:colOff>125367</xdr:colOff>
      <xdr:row>57</xdr:row>
      <xdr:rowOff>133350</xdr:rowOff>
    </xdr:to>
    <xdr:sp macro="" textlink="">
      <xdr:nvSpPr>
        <xdr:cNvPr id="23" name="54"/>
        <xdr:cNvSpPr/>
      </xdr:nvSpPr>
      <xdr:spPr>
        <a:xfrm>
          <a:off x="11008723" y="88506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57</xdr:row>
      <xdr:rowOff>76200</xdr:rowOff>
    </xdr:from>
    <xdr:to>
      <xdr:col>36</xdr:col>
      <xdr:colOff>124097</xdr:colOff>
      <xdr:row>57</xdr:row>
      <xdr:rowOff>76200</xdr:rowOff>
    </xdr:to>
    <xdr:cxnSp macro="">
      <xdr:nvCxnSpPr>
        <xdr:cNvPr id="24" name="직선 화살표 연결선 23"/>
        <xdr:cNvCxnSpPr/>
      </xdr:nvCxnSpPr>
      <xdr:spPr>
        <a:xfrm>
          <a:off x="11008723" y="890778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56</xdr:row>
      <xdr:rowOff>19050</xdr:rowOff>
    </xdr:from>
    <xdr:to>
      <xdr:col>36</xdr:col>
      <xdr:colOff>125367</xdr:colOff>
      <xdr:row>56</xdr:row>
      <xdr:rowOff>133350</xdr:rowOff>
    </xdr:to>
    <xdr:sp macro="" textlink="">
      <xdr:nvSpPr>
        <xdr:cNvPr id="25" name="53"/>
        <xdr:cNvSpPr/>
      </xdr:nvSpPr>
      <xdr:spPr>
        <a:xfrm>
          <a:off x="11008723" y="8698230"/>
          <a:ext cx="1046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56</xdr:row>
      <xdr:rowOff>76200</xdr:rowOff>
    </xdr:from>
    <xdr:to>
      <xdr:col>36</xdr:col>
      <xdr:colOff>124097</xdr:colOff>
      <xdr:row>56</xdr:row>
      <xdr:rowOff>76200</xdr:rowOff>
    </xdr:to>
    <xdr:cxnSp macro="">
      <xdr:nvCxnSpPr>
        <xdr:cNvPr id="26" name="직선 화살표 연결선 25"/>
        <xdr:cNvCxnSpPr/>
      </xdr:nvCxnSpPr>
      <xdr:spPr>
        <a:xfrm>
          <a:off x="11008723" y="875538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62048</xdr:colOff>
      <xdr:row>55</xdr:row>
      <xdr:rowOff>19050</xdr:rowOff>
    </xdr:from>
    <xdr:to>
      <xdr:col>36</xdr:col>
      <xdr:colOff>125367</xdr:colOff>
      <xdr:row>55</xdr:row>
      <xdr:rowOff>133350</xdr:rowOff>
    </xdr:to>
    <xdr:sp macro="" textlink="">
      <xdr:nvSpPr>
        <xdr:cNvPr id="27" name="52"/>
        <xdr:cNvSpPr/>
      </xdr:nvSpPr>
      <xdr:spPr>
        <a:xfrm>
          <a:off x="11050088" y="8545830"/>
          <a:ext cx="633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62048</xdr:colOff>
      <xdr:row>55</xdr:row>
      <xdr:rowOff>76200</xdr:rowOff>
    </xdr:from>
    <xdr:to>
      <xdr:col>36</xdr:col>
      <xdr:colOff>124097</xdr:colOff>
      <xdr:row>55</xdr:row>
      <xdr:rowOff>76200</xdr:rowOff>
    </xdr:to>
    <xdr:cxnSp macro="">
      <xdr:nvCxnSpPr>
        <xdr:cNvPr id="28" name="직선 화살표 연결선 27"/>
        <xdr:cNvCxnSpPr/>
      </xdr:nvCxnSpPr>
      <xdr:spPr>
        <a:xfrm>
          <a:off x="11050088" y="8602980"/>
          <a:ext cx="620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62048</xdr:colOff>
      <xdr:row>54</xdr:row>
      <xdr:rowOff>19050</xdr:rowOff>
    </xdr:from>
    <xdr:to>
      <xdr:col>36</xdr:col>
      <xdr:colOff>125367</xdr:colOff>
      <xdr:row>54</xdr:row>
      <xdr:rowOff>133350</xdr:rowOff>
    </xdr:to>
    <xdr:sp macro="" textlink="">
      <xdr:nvSpPr>
        <xdr:cNvPr id="29" name="51"/>
        <xdr:cNvSpPr/>
      </xdr:nvSpPr>
      <xdr:spPr>
        <a:xfrm>
          <a:off x="11050088" y="8393430"/>
          <a:ext cx="633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62048</xdr:colOff>
      <xdr:row>54</xdr:row>
      <xdr:rowOff>76200</xdr:rowOff>
    </xdr:from>
    <xdr:to>
      <xdr:col>36</xdr:col>
      <xdr:colOff>124097</xdr:colOff>
      <xdr:row>54</xdr:row>
      <xdr:rowOff>76200</xdr:rowOff>
    </xdr:to>
    <xdr:cxnSp macro="">
      <xdr:nvCxnSpPr>
        <xdr:cNvPr id="30" name="직선 화살표 연결선 29"/>
        <xdr:cNvCxnSpPr/>
      </xdr:nvCxnSpPr>
      <xdr:spPr>
        <a:xfrm>
          <a:off x="11050088" y="8450580"/>
          <a:ext cx="620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62048</xdr:colOff>
      <xdr:row>53</xdr:row>
      <xdr:rowOff>19050</xdr:rowOff>
    </xdr:from>
    <xdr:to>
      <xdr:col>36</xdr:col>
      <xdr:colOff>125367</xdr:colOff>
      <xdr:row>53</xdr:row>
      <xdr:rowOff>133350</xdr:rowOff>
    </xdr:to>
    <xdr:sp macro="" textlink="">
      <xdr:nvSpPr>
        <xdr:cNvPr id="31" name="50"/>
        <xdr:cNvSpPr/>
      </xdr:nvSpPr>
      <xdr:spPr>
        <a:xfrm>
          <a:off x="11050088" y="8241030"/>
          <a:ext cx="6331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62048</xdr:colOff>
      <xdr:row>53</xdr:row>
      <xdr:rowOff>76200</xdr:rowOff>
    </xdr:from>
    <xdr:to>
      <xdr:col>36</xdr:col>
      <xdr:colOff>124097</xdr:colOff>
      <xdr:row>53</xdr:row>
      <xdr:rowOff>76200</xdr:rowOff>
    </xdr:to>
    <xdr:cxnSp macro="">
      <xdr:nvCxnSpPr>
        <xdr:cNvPr id="32" name="직선 화살표 연결선 31"/>
        <xdr:cNvCxnSpPr/>
      </xdr:nvCxnSpPr>
      <xdr:spPr>
        <a:xfrm>
          <a:off x="11050088" y="8298180"/>
          <a:ext cx="620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62048</xdr:colOff>
      <xdr:row>52</xdr:row>
      <xdr:rowOff>19050</xdr:rowOff>
    </xdr:from>
    <xdr:to>
      <xdr:col>36</xdr:col>
      <xdr:colOff>104684</xdr:colOff>
      <xdr:row>52</xdr:row>
      <xdr:rowOff>133350</xdr:rowOff>
    </xdr:to>
    <xdr:sp macro="" textlink="">
      <xdr:nvSpPr>
        <xdr:cNvPr id="33" name="49"/>
        <xdr:cNvSpPr/>
      </xdr:nvSpPr>
      <xdr:spPr>
        <a:xfrm>
          <a:off x="11050088" y="80886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62048</xdr:colOff>
      <xdr:row>52</xdr:row>
      <xdr:rowOff>76200</xdr:rowOff>
    </xdr:from>
    <xdr:to>
      <xdr:col>36</xdr:col>
      <xdr:colOff>62048</xdr:colOff>
      <xdr:row>52</xdr:row>
      <xdr:rowOff>76200</xdr:rowOff>
    </xdr:to>
    <xdr:cxnSp macro="">
      <xdr:nvCxnSpPr>
        <xdr:cNvPr id="34" name="직선 화살표 연결선 33"/>
        <xdr:cNvCxnSpPr/>
      </xdr:nvCxnSpPr>
      <xdr:spPr>
        <a:xfrm>
          <a:off x="11050088" y="814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62048</xdr:colOff>
      <xdr:row>51</xdr:row>
      <xdr:rowOff>19050</xdr:rowOff>
    </xdr:from>
    <xdr:to>
      <xdr:col>36</xdr:col>
      <xdr:colOff>104684</xdr:colOff>
      <xdr:row>51</xdr:row>
      <xdr:rowOff>133350</xdr:rowOff>
    </xdr:to>
    <xdr:sp macro="" textlink="">
      <xdr:nvSpPr>
        <xdr:cNvPr id="35" name="48"/>
        <xdr:cNvSpPr/>
      </xdr:nvSpPr>
      <xdr:spPr>
        <a:xfrm>
          <a:off x="11050088" y="79362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62048</xdr:colOff>
      <xdr:row>51</xdr:row>
      <xdr:rowOff>76200</xdr:rowOff>
    </xdr:from>
    <xdr:to>
      <xdr:col>36</xdr:col>
      <xdr:colOff>103414</xdr:colOff>
      <xdr:row>51</xdr:row>
      <xdr:rowOff>76200</xdr:rowOff>
    </xdr:to>
    <xdr:cxnSp macro="">
      <xdr:nvCxnSpPr>
        <xdr:cNvPr id="36" name="직선 화살표 연결선 35"/>
        <xdr:cNvCxnSpPr/>
      </xdr:nvCxnSpPr>
      <xdr:spPr>
        <a:xfrm>
          <a:off x="11050088" y="79933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41366</xdr:colOff>
      <xdr:row>50</xdr:row>
      <xdr:rowOff>19050</xdr:rowOff>
    </xdr:from>
    <xdr:to>
      <xdr:col>36</xdr:col>
      <xdr:colOff>84001</xdr:colOff>
      <xdr:row>50</xdr:row>
      <xdr:rowOff>133350</xdr:rowOff>
    </xdr:to>
    <xdr:sp macro="" textlink="">
      <xdr:nvSpPr>
        <xdr:cNvPr id="37" name="47"/>
        <xdr:cNvSpPr/>
      </xdr:nvSpPr>
      <xdr:spPr>
        <a:xfrm>
          <a:off x="11029406" y="77838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41366</xdr:colOff>
      <xdr:row>50</xdr:row>
      <xdr:rowOff>76200</xdr:rowOff>
    </xdr:from>
    <xdr:to>
      <xdr:col>36</xdr:col>
      <xdr:colOff>82732</xdr:colOff>
      <xdr:row>50</xdr:row>
      <xdr:rowOff>76200</xdr:rowOff>
    </xdr:to>
    <xdr:cxnSp macro="">
      <xdr:nvCxnSpPr>
        <xdr:cNvPr id="38" name="직선 화살표 연결선 37"/>
        <xdr:cNvCxnSpPr/>
      </xdr:nvCxnSpPr>
      <xdr:spPr>
        <a:xfrm>
          <a:off x="11029406" y="78409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41366</xdr:colOff>
      <xdr:row>49</xdr:row>
      <xdr:rowOff>19050</xdr:rowOff>
    </xdr:from>
    <xdr:to>
      <xdr:col>36</xdr:col>
      <xdr:colOff>84001</xdr:colOff>
      <xdr:row>49</xdr:row>
      <xdr:rowOff>133350</xdr:rowOff>
    </xdr:to>
    <xdr:sp macro="" textlink="">
      <xdr:nvSpPr>
        <xdr:cNvPr id="39" name="46"/>
        <xdr:cNvSpPr/>
      </xdr:nvSpPr>
      <xdr:spPr>
        <a:xfrm>
          <a:off x="11029406" y="76314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41366</xdr:colOff>
      <xdr:row>49</xdr:row>
      <xdr:rowOff>76200</xdr:rowOff>
    </xdr:from>
    <xdr:to>
      <xdr:col>36</xdr:col>
      <xdr:colOff>82732</xdr:colOff>
      <xdr:row>49</xdr:row>
      <xdr:rowOff>76200</xdr:rowOff>
    </xdr:to>
    <xdr:cxnSp macro="">
      <xdr:nvCxnSpPr>
        <xdr:cNvPr id="40" name="직선 화살표 연결선 39"/>
        <xdr:cNvCxnSpPr/>
      </xdr:nvCxnSpPr>
      <xdr:spPr>
        <a:xfrm>
          <a:off x="11029406" y="76885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48</xdr:row>
      <xdr:rowOff>19050</xdr:rowOff>
    </xdr:from>
    <xdr:to>
      <xdr:col>36</xdr:col>
      <xdr:colOff>63318</xdr:colOff>
      <xdr:row>48</xdr:row>
      <xdr:rowOff>133350</xdr:rowOff>
    </xdr:to>
    <xdr:sp macro="" textlink="">
      <xdr:nvSpPr>
        <xdr:cNvPr id="41" name="45"/>
        <xdr:cNvSpPr/>
      </xdr:nvSpPr>
      <xdr:spPr>
        <a:xfrm>
          <a:off x="11008723" y="74790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48</xdr:row>
      <xdr:rowOff>76200</xdr:rowOff>
    </xdr:from>
    <xdr:to>
      <xdr:col>36</xdr:col>
      <xdr:colOff>62048</xdr:colOff>
      <xdr:row>48</xdr:row>
      <xdr:rowOff>76200</xdr:rowOff>
    </xdr:to>
    <xdr:cxnSp macro="">
      <xdr:nvCxnSpPr>
        <xdr:cNvPr id="42" name="직선 화살표 연결선 41"/>
        <xdr:cNvCxnSpPr/>
      </xdr:nvCxnSpPr>
      <xdr:spPr>
        <a:xfrm>
          <a:off x="11008723" y="753618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47</xdr:row>
      <xdr:rowOff>19050</xdr:rowOff>
    </xdr:from>
    <xdr:to>
      <xdr:col>36</xdr:col>
      <xdr:colOff>104684</xdr:colOff>
      <xdr:row>47</xdr:row>
      <xdr:rowOff>133350</xdr:rowOff>
    </xdr:to>
    <xdr:sp macro="" textlink="">
      <xdr:nvSpPr>
        <xdr:cNvPr id="43" name="44"/>
        <xdr:cNvSpPr/>
      </xdr:nvSpPr>
      <xdr:spPr>
        <a:xfrm>
          <a:off x="11008723" y="7326630"/>
          <a:ext cx="8400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47</xdr:row>
      <xdr:rowOff>76200</xdr:rowOff>
    </xdr:from>
    <xdr:to>
      <xdr:col>36</xdr:col>
      <xdr:colOff>86868</xdr:colOff>
      <xdr:row>47</xdr:row>
      <xdr:rowOff>76200</xdr:rowOff>
    </xdr:to>
    <xdr:cxnSp macro="">
      <xdr:nvCxnSpPr>
        <xdr:cNvPr id="44" name="직선 화살표 연결선 43"/>
        <xdr:cNvCxnSpPr/>
      </xdr:nvCxnSpPr>
      <xdr:spPr>
        <a:xfrm>
          <a:off x="11008723" y="7383780"/>
          <a:ext cx="661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46</xdr:row>
      <xdr:rowOff>19050</xdr:rowOff>
    </xdr:from>
    <xdr:to>
      <xdr:col>36</xdr:col>
      <xdr:colOff>125367</xdr:colOff>
      <xdr:row>46</xdr:row>
      <xdr:rowOff>133350</xdr:rowOff>
    </xdr:to>
    <xdr:sp macro="" textlink="">
      <xdr:nvSpPr>
        <xdr:cNvPr id="45" name="43"/>
        <xdr:cNvSpPr/>
      </xdr:nvSpPr>
      <xdr:spPr>
        <a:xfrm>
          <a:off x="11008723" y="7174230"/>
          <a:ext cx="1046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46</xdr:row>
      <xdr:rowOff>76200</xdr:rowOff>
    </xdr:from>
    <xdr:to>
      <xdr:col>36</xdr:col>
      <xdr:colOff>116142</xdr:colOff>
      <xdr:row>46</xdr:row>
      <xdr:rowOff>76200</xdr:rowOff>
    </xdr:to>
    <xdr:cxnSp macro="">
      <xdr:nvCxnSpPr>
        <xdr:cNvPr id="46" name="직선 화살표 연결선 45"/>
        <xdr:cNvCxnSpPr/>
      </xdr:nvCxnSpPr>
      <xdr:spPr>
        <a:xfrm>
          <a:off x="11008723" y="7231380"/>
          <a:ext cx="9545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82731</xdr:colOff>
      <xdr:row>45</xdr:row>
      <xdr:rowOff>19050</xdr:rowOff>
    </xdr:from>
    <xdr:to>
      <xdr:col>35</xdr:col>
      <xdr:colOff>125367</xdr:colOff>
      <xdr:row>45</xdr:row>
      <xdr:rowOff>133350</xdr:rowOff>
    </xdr:to>
    <xdr:sp macro="" textlink="">
      <xdr:nvSpPr>
        <xdr:cNvPr id="47" name="42"/>
        <xdr:cNvSpPr/>
      </xdr:nvSpPr>
      <xdr:spPr>
        <a:xfrm>
          <a:off x="10925991" y="70218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82731</xdr:colOff>
      <xdr:row>45</xdr:row>
      <xdr:rowOff>76200</xdr:rowOff>
    </xdr:from>
    <xdr:to>
      <xdr:col>35</xdr:col>
      <xdr:colOff>124097</xdr:colOff>
      <xdr:row>45</xdr:row>
      <xdr:rowOff>76200</xdr:rowOff>
    </xdr:to>
    <xdr:cxnSp macro="">
      <xdr:nvCxnSpPr>
        <xdr:cNvPr id="48" name="직선 화살표 연결선 47"/>
        <xdr:cNvCxnSpPr/>
      </xdr:nvCxnSpPr>
      <xdr:spPr>
        <a:xfrm>
          <a:off x="10925991" y="70789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82731</xdr:colOff>
      <xdr:row>44</xdr:row>
      <xdr:rowOff>19050</xdr:rowOff>
    </xdr:from>
    <xdr:to>
      <xdr:col>35</xdr:col>
      <xdr:colOff>125367</xdr:colOff>
      <xdr:row>44</xdr:row>
      <xdr:rowOff>133350</xdr:rowOff>
    </xdr:to>
    <xdr:sp macro="" textlink="">
      <xdr:nvSpPr>
        <xdr:cNvPr id="49" name="41"/>
        <xdr:cNvSpPr/>
      </xdr:nvSpPr>
      <xdr:spPr>
        <a:xfrm>
          <a:off x="10925991" y="68694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82731</xdr:colOff>
      <xdr:row>44</xdr:row>
      <xdr:rowOff>76200</xdr:rowOff>
    </xdr:from>
    <xdr:to>
      <xdr:col>35</xdr:col>
      <xdr:colOff>124097</xdr:colOff>
      <xdr:row>44</xdr:row>
      <xdr:rowOff>76200</xdr:rowOff>
    </xdr:to>
    <xdr:cxnSp macro="">
      <xdr:nvCxnSpPr>
        <xdr:cNvPr id="50" name="직선 화살표 연결선 49"/>
        <xdr:cNvCxnSpPr/>
      </xdr:nvCxnSpPr>
      <xdr:spPr>
        <a:xfrm>
          <a:off x="10925991" y="69265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43</xdr:row>
      <xdr:rowOff>19050</xdr:rowOff>
    </xdr:from>
    <xdr:to>
      <xdr:col>35</xdr:col>
      <xdr:colOff>63318</xdr:colOff>
      <xdr:row>43</xdr:row>
      <xdr:rowOff>133350</xdr:rowOff>
    </xdr:to>
    <xdr:sp macro="" textlink="">
      <xdr:nvSpPr>
        <xdr:cNvPr id="51" name="40"/>
        <xdr:cNvSpPr/>
      </xdr:nvSpPr>
      <xdr:spPr>
        <a:xfrm>
          <a:off x="10863943" y="67170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43</xdr:row>
      <xdr:rowOff>76200</xdr:rowOff>
    </xdr:from>
    <xdr:to>
      <xdr:col>35</xdr:col>
      <xdr:colOff>62049</xdr:colOff>
      <xdr:row>43</xdr:row>
      <xdr:rowOff>76200</xdr:rowOff>
    </xdr:to>
    <xdr:cxnSp macro="">
      <xdr:nvCxnSpPr>
        <xdr:cNvPr id="52" name="직선 화살표 연결선 51"/>
        <xdr:cNvCxnSpPr/>
      </xdr:nvCxnSpPr>
      <xdr:spPr>
        <a:xfrm>
          <a:off x="10863943" y="67741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42</xdr:row>
      <xdr:rowOff>19050</xdr:rowOff>
    </xdr:from>
    <xdr:to>
      <xdr:col>35</xdr:col>
      <xdr:colOff>63318</xdr:colOff>
      <xdr:row>42</xdr:row>
      <xdr:rowOff>133350</xdr:rowOff>
    </xdr:to>
    <xdr:sp macro="" textlink="">
      <xdr:nvSpPr>
        <xdr:cNvPr id="53" name="39"/>
        <xdr:cNvSpPr/>
      </xdr:nvSpPr>
      <xdr:spPr>
        <a:xfrm>
          <a:off x="10863943" y="65646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42</xdr:row>
      <xdr:rowOff>76200</xdr:rowOff>
    </xdr:from>
    <xdr:to>
      <xdr:col>35</xdr:col>
      <xdr:colOff>62049</xdr:colOff>
      <xdr:row>42</xdr:row>
      <xdr:rowOff>76200</xdr:rowOff>
    </xdr:to>
    <xdr:cxnSp macro="">
      <xdr:nvCxnSpPr>
        <xdr:cNvPr id="54" name="직선 화살표 연결선 53"/>
        <xdr:cNvCxnSpPr/>
      </xdr:nvCxnSpPr>
      <xdr:spPr>
        <a:xfrm>
          <a:off x="10863943" y="66217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41</xdr:row>
      <xdr:rowOff>19050</xdr:rowOff>
    </xdr:from>
    <xdr:to>
      <xdr:col>35</xdr:col>
      <xdr:colOff>125367</xdr:colOff>
      <xdr:row>41</xdr:row>
      <xdr:rowOff>133350</xdr:rowOff>
    </xdr:to>
    <xdr:sp macro="" textlink="">
      <xdr:nvSpPr>
        <xdr:cNvPr id="55" name="38"/>
        <xdr:cNvSpPr/>
      </xdr:nvSpPr>
      <xdr:spPr>
        <a:xfrm>
          <a:off x="10863943" y="6412230"/>
          <a:ext cx="1046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41</xdr:row>
      <xdr:rowOff>76200</xdr:rowOff>
    </xdr:from>
    <xdr:to>
      <xdr:col>35</xdr:col>
      <xdr:colOff>124097</xdr:colOff>
      <xdr:row>41</xdr:row>
      <xdr:rowOff>76200</xdr:rowOff>
    </xdr:to>
    <xdr:cxnSp macro="">
      <xdr:nvCxnSpPr>
        <xdr:cNvPr id="56" name="직선 화살표 연결선 55"/>
        <xdr:cNvCxnSpPr/>
      </xdr:nvCxnSpPr>
      <xdr:spPr>
        <a:xfrm>
          <a:off x="10863943" y="646938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40</xdr:row>
      <xdr:rowOff>19050</xdr:rowOff>
    </xdr:from>
    <xdr:to>
      <xdr:col>35</xdr:col>
      <xdr:colOff>125367</xdr:colOff>
      <xdr:row>40</xdr:row>
      <xdr:rowOff>133350</xdr:rowOff>
    </xdr:to>
    <xdr:sp macro="" textlink="">
      <xdr:nvSpPr>
        <xdr:cNvPr id="57" name="37"/>
        <xdr:cNvSpPr/>
      </xdr:nvSpPr>
      <xdr:spPr>
        <a:xfrm>
          <a:off x="10863943" y="6259830"/>
          <a:ext cx="1046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40</xdr:row>
      <xdr:rowOff>76200</xdr:rowOff>
    </xdr:from>
    <xdr:to>
      <xdr:col>35</xdr:col>
      <xdr:colOff>124097</xdr:colOff>
      <xdr:row>40</xdr:row>
      <xdr:rowOff>76200</xdr:rowOff>
    </xdr:to>
    <xdr:cxnSp macro="">
      <xdr:nvCxnSpPr>
        <xdr:cNvPr id="58" name="직선 화살표 연결선 57"/>
        <xdr:cNvCxnSpPr/>
      </xdr:nvCxnSpPr>
      <xdr:spPr>
        <a:xfrm>
          <a:off x="10863943" y="631698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82732</xdr:colOff>
      <xdr:row>39</xdr:row>
      <xdr:rowOff>19050</xdr:rowOff>
    </xdr:from>
    <xdr:to>
      <xdr:col>34</xdr:col>
      <xdr:colOff>125367</xdr:colOff>
      <xdr:row>39</xdr:row>
      <xdr:rowOff>133350</xdr:rowOff>
    </xdr:to>
    <xdr:sp macro="" textlink="">
      <xdr:nvSpPr>
        <xdr:cNvPr id="59" name="36"/>
        <xdr:cNvSpPr/>
      </xdr:nvSpPr>
      <xdr:spPr>
        <a:xfrm>
          <a:off x="10781212" y="61074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82732</xdr:colOff>
      <xdr:row>39</xdr:row>
      <xdr:rowOff>76200</xdr:rowOff>
    </xdr:from>
    <xdr:to>
      <xdr:col>34</xdr:col>
      <xdr:colOff>124097</xdr:colOff>
      <xdr:row>39</xdr:row>
      <xdr:rowOff>76200</xdr:rowOff>
    </xdr:to>
    <xdr:cxnSp macro="">
      <xdr:nvCxnSpPr>
        <xdr:cNvPr id="60" name="직선 화살표 연결선 59"/>
        <xdr:cNvCxnSpPr/>
      </xdr:nvCxnSpPr>
      <xdr:spPr>
        <a:xfrm>
          <a:off x="10781212" y="616458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82732</xdr:colOff>
      <xdr:row>38</xdr:row>
      <xdr:rowOff>19050</xdr:rowOff>
    </xdr:from>
    <xdr:to>
      <xdr:col>34</xdr:col>
      <xdr:colOff>125367</xdr:colOff>
      <xdr:row>38</xdr:row>
      <xdr:rowOff>133350</xdr:rowOff>
    </xdr:to>
    <xdr:sp macro="" textlink="">
      <xdr:nvSpPr>
        <xdr:cNvPr id="61" name="35"/>
        <xdr:cNvSpPr/>
      </xdr:nvSpPr>
      <xdr:spPr>
        <a:xfrm>
          <a:off x="10781212" y="59550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82732</xdr:colOff>
      <xdr:row>38</xdr:row>
      <xdr:rowOff>76200</xdr:rowOff>
    </xdr:from>
    <xdr:to>
      <xdr:col>34</xdr:col>
      <xdr:colOff>124097</xdr:colOff>
      <xdr:row>38</xdr:row>
      <xdr:rowOff>76200</xdr:rowOff>
    </xdr:to>
    <xdr:cxnSp macro="">
      <xdr:nvCxnSpPr>
        <xdr:cNvPr id="62" name="직선 화살표 연결선 61"/>
        <xdr:cNvCxnSpPr/>
      </xdr:nvCxnSpPr>
      <xdr:spPr>
        <a:xfrm>
          <a:off x="10781212" y="601218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37</xdr:row>
      <xdr:rowOff>19050</xdr:rowOff>
    </xdr:from>
    <xdr:to>
      <xdr:col>34</xdr:col>
      <xdr:colOff>63318</xdr:colOff>
      <xdr:row>37</xdr:row>
      <xdr:rowOff>133350</xdr:rowOff>
    </xdr:to>
    <xdr:sp macro="" textlink="">
      <xdr:nvSpPr>
        <xdr:cNvPr id="63" name="34"/>
        <xdr:cNvSpPr/>
      </xdr:nvSpPr>
      <xdr:spPr>
        <a:xfrm>
          <a:off x="10719163" y="58026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37</xdr:row>
      <xdr:rowOff>76200</xdr:rowOff>
    </xdr:from>
    <xdr:to>
      <xdr:col>34</xdr:col>
      <xdr:colOff>62048</xdr:colOff>
      <xdr:row>37</xdr:row>
      <xdr:rowOff>76200</xdr:rowOff>
    </xdr:to>
    <xdr:cxnSp macro="">
      <xdr:nvCxnSpPr>
        <xdr:cNvPr id="13952" name="직선 화살표 연결선 13951"/>
        <xdr:cNvCxnSpPr/>
      </xdr:nvCxnSpPr>
      <xdr:spPr>
        <a:xfrm>
          <a:off x="10719163" y="585978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36</xdr:row>
      <xdr:rowOff>19050</xdr:rowOff>
    </xdr:from>
    <xdr:to>
      <xdr:col>34</xdr:col>
      <xdr:colOff>125367</xdr:colOff>
      <xdr:row>36</xdr:row>
      <xdr:rowOff>133350</xdr:rowOff>
    </xdr:to>
    <xdr:sp macro="" textlink="">
      <xdr:nvSpPr>
        <xdr:cNvPr id="13953" name="33"/>
        <xdr:cNvSpPr/>
      </xdr:nvSpPr>
      <xdr:spPr>
        <a:xfrm>
          <a:off x="10719163" y="5650230"/>
          <a:ext cx="1046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36</xdr:row>
      <xdr:rowOff>76200</xdr:rowOff>
    </xdr:from>
    <xdr:to>
      <xdr:col>34</xdr:col>
      <xdr:colOff>124097</xdr:colOff>
      <xdr:row>36</xdr:row>
      <xdr:rowOff>76200</xdr:rowOff>
    </xdr:to>
    <xdr:cxnSp macro="">
      <xdr:nvCxnSpPr>
        <xdr:cNvPr id="13954" name="직선 화살표 연결선 13953"/>
        <xdr:cNvCxnSpPr/>
      </xdr:nvCxnSpPr>
      <xdr:spPr>
        <a:xfrm>
          <a:off x="10719163" y="570738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82732</xdr:colOff>
      <xdr:row>35</xdr:row>
      <xdr:rowOff>19050</xdr:rowOff>
    </xdr:from>
    <xdr:to>
      <xdr:col>34</xdr:col>
      <xdr:colOff>125367</xdr:colOff>
      <xdr:row>35</xdr:row>
      <xdr:rowOff>133350</xdr:rowOff>
    </xdr:to>
    <xdr:sp macro="" textlink="">
      <xdr:nvSpPr>
        <xdr:cNvPr id="13955" name="32"/>
        <xdr:cNvSpPr/>
      </xdr:nvSpPr>
      <xdr:spPr>
        <a:xfrm>
          <a:off x="10781212" y="54978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82732</xdr:colOff>
      <xdr:row>35</xdr:row>
      <xdr:rowOff>76200</xdr:rowOff>
    </xdr:from>
    <xdr:to>
      <xdr:col>34</xdr:col>
      <xdr:colOff>124097</xdr:colOff>
      <xdr:row>35</xdr:row>
      <xdr:rowOff>76200</xdr:rowOff>
    </xdr:to>
    <xdr:cxnSp macro="">
      <xdr:nvCxnSpPr>
        <xdr:cNvPr id="13956" name="직선 화살표 연결선 13955"/>
        <xdr:cNvCxnSpPr/>
      </xdr:nvCxnSpPr>
      <xdr:spPr>
        <a:xfrm>
          <a:off x="10781212" y="555498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82732</xdr:colOff>
      <xdr:row>34</xdr:row>
      <xdr:rowOff>19050</xdr:rowOff>
    </xdr:from>
    <xdr:to>
      <xdr:col>34</xdr:col>
      <xdr:colOff>125367</xdr:colOff>
      <xdr:row>34</xdr:row>
      <xdr:rowOff>133350</xdr:rowOff>
    </xdr:to>
    <xdr:sp macro="" textlink="">
      <xdr:nvSpPr>
        <xdr:cNvPr id="13957" name="31"/>
        <xdr:cNvSpPr/>
      </xdr:nvSpPr>
      <xdr:spPr>
        <a:xfrm>
          <a:off x="10781212" y="53454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82732</xdr:colOff>
      <xdr:row>34</xdr:row>
      <xdr:rowOff>76200</xdr:rowOff>
    </xdr:from>
    <xdr:to>
      <xdr:col>34</xdr:col>
      <xdr:colOff>124097</xdr:colOff>
      <xdr:row>34</xdr:row>
      <xdr:rowOff>76200</xdr:rowOff>
    </xdr:to>
    <xdr:cxnSp macro="">
      <xdr:nvCxnSpPr>
        <xdr:cNvPr id="13958" name="직선 화살표 연결선 13957"/>
        <xdr:cNvCxnSpPr/>
      </xdr:nvCxnSpPr>
      <xdr:spPr>
        <a:xfrm>
          <a:off x="10781212" y="540258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33</xdr:row>
      <xdr:rowOff>19050</xdr:rowOff>
    </xdr:from>
    <xdr:to>
      <xdr:col>34</xdr:col>
      <xdr:colOff>104684</xdr:colOff>
      <xdr:row>33</xdr:row>
      <xdr:rowOff>133350</xdr:rowOff>
    </xdr:to>
    <xdr:sp macro="" textlink="">
      <xdr:nvSpPr>
        <xdr:cNvPr id="13959" name="30"/>
        <xdr:cNvSpPr/>
      </xdr:nvSpPr>
      <xdr:spPr>
        <a:xfrm>
          <a:off x="10719163" y="51930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33</xdr:row>
      <xdr:rowOff>76200</xdr:rowOff>
    </xdr:from>
    <xdr:to>
      <xdr:col>34</xdr:col>
      <xdr:colOff>103414</xdr:colOff>
      <xdr:row>33</xdr:row>
      <xdr:rowOff>76200</xdr:rowOff>
    </xdr:to>
    <xdr:cxnSp macro="">
      <xdr:nvCxnSpPr>
        <xdr:cNvPr id="13960" name="직선 화살표 연결선 13959"/>
        <xdr:cNvCxnSpPr/>
      </xdr:nvCxnSpPr>
      <xdr:spPr>
        <a:xfrm>
          <a:off x="10719163" y="5250180"/>
          <a:ext cx="827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32</xdr:row>
      <xdr:rowOff>19050</xdr:rowOff>
    </xdr:from>
    <xdr:to>
      <xdr:col>34</xdr:col>
      <xdr:colOff>104684</xdr:colOff>
      <xdr:row>32</xdr:row>
      <xdr:rowOff>133350</xdr:rowOff>
    </xdr:to>
    <xdr:sp macro="" textlink="">
      <xdr:nvSpPr>
        <xdr:cNvPr id="13961" name="29"/>
        <xdr:cNvSpPr/>
      </xdr:nvSpPr>
      <xdr:spPr>
        <a:xfrm>
          <a:off x="10719163" y="50406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32</xdr:row>
      <xdr:rowOff>76200</xdr:rowOff>
    </xdr:from>
    <xdr:to>
      <xdr:col>34</xdr:col>
      <xdr:colOff>103414</xdr:colOff>
      <xdr:row>32</xdr:row>
      <xdr:rowOff>76200</xdr:rowOff>
    </xdr:to>
    <xdr:cxnSp macro="">
      <xdr:nvCxnSpPr>
        <xdr:cNvPr id="13962" name="직선 화살표 연결선 13961"/>
        <xdr:cNvCxnSpPr/>
      </xdr:nvCxnSpPr>
      <xdr:spPr>
        <a:xfrm>
          <a:off x="10719163" y="5097780"/>
          <a:ext cx="827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31</xdr:row>
      <xdr:rowOff>19050</xdr:rowOff>
    </xdr:from>
    <xdr:to>
      <xdr:col>34</xdr:col>
      <xdr:colOff>63318</xdr:colOff>
      <xdr:row>31</xdr:row>
      <xdr:rowOff>133350</xdr:rowOff>
    </xdr:to>
    <xdr:sp macro="" textlink="">
      <xdr:nvSpPr>
        <xdr:cNvPr id="13963" name="28"/>
        <xdr:cNvSpPr/>
      </xdr:nvSpPr>
      <xdr:spPr>
        <a:xfrm>
          <a:off x="10719163" y="48882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31</xdr:row>
      <xdr:rowOff>76200</xdr:rowOff>
    </xdr:from>
    <xdr:to>
      <xdr:col>34</xdr:col>
      <xdr:colOff>62048</xdr:colOff>
      <xdr:row>31</xdr:row>
      <xdr:rowOff>76200</xdr:rowOff>
    </xdr:to>
    <xdr:cxnSp macro="">
      <xdr:nvCxnSpPr>
        <xdr:cNvPr id="13964" name="직선 화살표 연결선 13963"/>
        <xdr:cNvCxnSpPr/>
      </xdr:nvCxnSpPr>
      <xdr:spPr>
        <a:xfrm>
          <a:off x="10719163" y="494538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30</xdr:row>
      <xdr:rowOff>19050</xdr:rowOff>
    </xdr:from>
    <xdr:to>
      <xdr:col>34</xdr:col>
      <xdr:colOff>125367</xdr:colOff>
      <xdr:row>30</xdr:row>
      <xdr:rowOff>133350</xdr:rowOff>
    </xdr:to>
    <xdr:sp macro="" textlink="">
      <xdr:nvSpPr>
        <xdr:cNvPr id="13965" name="27"/>
        <xdr:cNvSpPr/>
      </xdr:nvSpPr>
      <xdr:spPr>
        <a:xfrm>
          <a:off x="10719163" y="4735830"/>
          <a:ext cx="1046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30</xdr:row>
      <xdr:rowOff>76200</xdr:rowOff>
    </xdr:from>
    <xdr:to>
      <xdr:col>34</xdr:col>
      <xdr:colOff>124097</xdr:colOff>
      <xdr:row>30</xdr:row>
      <xdr:rowOff>76200</xdr:rowOff>
    </xdr:to>
    <xdr:cxnSp macro="">
      <xdr:nvCxnSpPr>
        <xdr:cNvPr id="13966" name="직선 화살표 연결선 13965"/>
        <xdr:cNvCxnSpPr/>
      </xdr:nvCxnSpPr>
      <xdr:spPr>
        <a:xfrm>
          <a:off x="10719163" y="479298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29</xdr:row>
      <xdr:rowOff>19050</xdr:rowOff>
    </xdr:from>
    <xdr:to>
      <xdr:col>34</xdr:col>
      <xdr:colOff>125367</xdr:colOff>
      <xdr:row>29</xdr:row>
      <xdr:rowOff>133350</xdr:rowOff>
    </xdr:to>
    <xdr:sp macro="" textlink="">
      <xdr:nvSpPr>
        <xdr:cNvPr id="13967" name="26"/>
        <xdr:cNvSpPr/>
      </xdr:nvSpPr>
      <xdr:spPr>
        <a:xfrm>
          <a:off x="10719163" y="4583430"/>
          <a:ext cx="1046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29</xdr:row>
      <xdr:rowOff>76200</xdr:rowOff>
    </xdr:from>
    <xdr:to>
      <xdr:col>34</xdr:col>
      <xdr:colOff>124097</xdr:colOff>
      <xdr:row>29</xdr:row>
      <xdr:rowOff>76200</xdr:rowOff>
    </xdr:to>
    <xdr:cxnSp macro="">
      <xdr:nvCxnSpPr>
        <xdr:cNvPr id="13968" name="직선 화살표 연결선 13967"/>
        <xdr:cNvCxnSpPr/>
      </xdr:nvCxnSpPr>
      <xdr:spPr>
        <a:xfrm>
          <a:off x="10719163" y="464058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82731</xdr:colOff>
      <xdr:row>28</xdr:row>
      <xdr:rowOff>19050</xdr:rowOff>
    </xdr:from>
    <xdr:to>
      <xdr:col>33</xdr:col>
      <xdr:colOff>125367</xdr:colOff>
      <xdr:row>28</xdr:row>
      <xdr:rowOff>133350</xdr:rowOff>
    </xdr:to>
    <xdr:sp macro="" textlink="">
      <xdr:nvSpPr>
        <xdr:cNvPr id="13969" name="25"/>
        <xdr:cNvSpPr/>
      </xdr:nvSpPr>
      <xdr:spPr>
        <a:xfrm>
          <a:off x="10636431" y="44310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82731</xdr:colOff>
      <xdr:row>28</xdr:row>
      <xdr:rowOff>76200</xdr:rowOff>
    </xdr:from>
    <xdr:to>
      <xdr:col>33</xdr:col>
      <xdr:colOff>124097</xdr:colOff>
      <xdr:row>28</xdr:row>
      <xdr:rowOff>76200</xdr:rowOff>
    </xdr:to>
    <xdr:cxnSp macro="">
      <xdr:nvCxnSpPr>
        <xdr:cNvPr id="13970" name="직선 화살표 연결선 13969"/>
        <xdr:cNvCxnSpPr/>
      </xdr:nvCxnSpPr>
      <xdr:spPr>
        <a:xfrm>
          <a:off x="10636431" y="44881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27</xdr:row>
      <xdr:rowOff>19050</xdr:rowOff>
    </xdr:from>
    <xdr:to>
      <xdr:col>33</xdr:col>
      <xdr:colOff>104684</xdr:colOff>
      <xdr:row>27</xdr:row>
      <xdr:rowOff>133350</xdr:rowOff>
    </xdr:to>
    <xdr:sp macro="" textlink="">
      <xdr:nvSpPr>
        <xdr:cNvPr id="13971" name="24"/>
        <xdr:cNvSpPr/>
      </xdr:nvSpPr>
      <xdr:spPr>
        <a:xfrm>
          <a:off x="10574383" y="42786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27</xdr:row>
      <xdr:rowOff>76200</xdr:rowOff>
    </xdr:from>
    <xdr:to>
      <xdr:col>33</xdr:col>
      <xdr:colOff>103415</xdr:colOff>
      <xdr:row>27</xdr:row>
      <xdr:rowOff>76200</xdr:rowOff>
    </xdr:to>
    <xdr:cxnSp macro="">
      <xdr:nvCxnSpPr>
        <xdr:cNvPr id="13972" name="직선 화살표 연결선 13971"/>
        <xdr:cNvCxnSpPr/>
      </xdr:nvCxnSpPr>
      <xdr:spPr>
        <a:xfrm>
          <a:off x="10574383" y="4335780"/>
          <a:ext cx="827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82731</xdr:colOff>
      <xdr:row>26</xdr:row>
      <xdr:rowOff>19050</xdr:rowOff>
    </xdr:from>
    <xdr:to>
      <xdr:col>33</xdr:col>
      <xdr:colOff>125367</xdr:colOff>
      <xdr:row>26</xdr:row>
      <xdr:rowOff>133350</xdr:rowOff>
    </xdr:to>
    <xdr:sp macro="" textlink="">
      <xdr:nvSpPr>
        <xdr:cNvPr id="13973" name="23"/>
        <xdr:cNvSpPr/>
      </xdr:nvSpPr>
      <xdr:spPr>
        <a:xfrm>
          <a:off x="10636431" y="41262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82731</xdr:colOff>
      <xdr:row>26</xdr:row>
      <xdr:rowOff>76200</xdr:rowOff>
    </xdr:from>
    <xdr:to>
      <xdr:col>33</xdr:col>
      <xdr:colOff>124097</xdr:colOff>
      <xdr:row>26</xdr:row>
      <xdr:rowOff>76200</xdr:rowOff>
    </xdr:to>
    <xdr:cxnSp macro="">
      <xdr:nvCxnSpPr>
        <xdr:cNvPr id="13974" name="직선 화살표 연결선 13973"/>
        <xdr:cNvCxnSpPr/>
      </xdr:nvCxnSpPr>
      <xdr:spPr>
        <a:xfrm>
          <a:off x="10636431" y="41833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25</xdr:row>
      <xdr:rowOff>19050</xdr:rowOff>
    </xdr:from>
    <xdr:to>
      <xdr:col>33</xdr:col>
      <xdr:colOff>104684</xdr:colOff>
      <xdr:row>25</xdr:row>
      <xdr:rowOff>133350</xdr:rowOff>
    </xdr:to>
    <xdr:sp macro="" textlink="">
      <xdr:nvSpPr>
        <xdr:cNvPr id="13975" name="22"/>
        <xdr:cNvSpPr/>
      </xdr:nvSpPr>
      <xdr:spPr>
        <a:xfrm>
          <a:off x="10595066" y="3973830"/>
          <a:ext cx="6331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25</xdr:row>
      <xdr:rowOff>76200</xdr:rowOff>
    </xdr:from>
    <xdr:to>
      <xdr:col>33</xdr:col>
      <xdr:colOff>103415</xdr:colOff>
      <xdr:row>25</xdr:row>
      <xdr:rowOff>76200</xdr:rowOff>
    </xdr:to>
    <xdr:cxnSp macro="">
      <xdr:nvCxnSpPr>
        <xdr:cNvPr id="13976" name="직선 화살표 연결선 13975"/>
        <xdr:cNvCxnSpPr/>
      </xdr:nvCxnSpPr>
      <xdr:spPr>
        <a:xfrm>
          <a:off x="10595066" y="4030980"/>
          <a:ext cx="620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24</xdr:row>
      <xdr:rowOff>19050</xdr:rowOff>
    </xdr:from>
    <xdr:to>
      <xdr:col>33</xdr:col>
      <xdr:colOff>63319</xdr:colOff>
      <xdr:row>24</xdr:row>
      <xdr:rowOff>133350</xdr:rowOff>
    </xdr:to>
    <xdr:sp macro="" textlink="">
      <xdr:nvSpPr>
        <xdr:cNvPr id="13977" name="21"/>
        <xdr:cNvSpPr/>
      </xdr:nvSpPr>
      <xdr:spPr>
        <a:xfrm>
          <a:off x="10574383" y="38214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24</xdr:row>
      <xdr:rowOff>76200</xdr:rowOff>
    </xdr:from>
    <xdr:to>
      <xdr:col>33</xdr:col>
      <xdr:colOff>62049</xdr:colOff>
      <xdr:row>24</xdr:row>
      <xdr:rowOff>76200</xdr:rowOff>
    </xdr:to>
    <xdr:cxnSp macro="">
      <xdr:nvCxnSpPr>
        <xdr:cNvPr id="13978" name="직선 화살표 연결선 13977"/>
        <xdr:cNvCxnSpPr/>
      </xdr:nvCxnSpPr>
      <xdr:spPr>
        <a:xfrm>
          <a:off x="10574383" y="38785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23</xdr:row>
      <xdr:rowOff>19050</xdr:rowOff>
    </xdr:from>
    <xdr:to>
      <xdr:col>33</xdr:col>
      <xdr:colOff>84001</xdr:colOff>
      <xdr:row>23</xdr:row>
      <xdr:rowOff>133350</xdr:rowOff>
    </xdr:to>
    <xdr:sp macro="" textlink="">
      <xdr:nvSpPr>
        <xdr:cNvPr id="13979" name="20"/>
        <xdr:cNvSpPr/>
      </xdr:nvSpPr>
      <xdr:spPr>
        <a:xfrm>
          <a:off x="10574383" y="3669030"/>
          <a:ext cx="6331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23</xdr:row>
      <xdr:rowOff>76200</xdr:rowOff>
    </xdr:from>
    <xdr:to>
      <xdr:col>33</xdr:col>
      <xdr:colOff>82731</xdr:colOff>
      <xdr:row>23</xdr:row>
      <xdr:rowOff>76200</xdr:rowOff>
    </xdr:to>
    <xdr:cxnSp macro="">
      <xdr:nvCxnSpPr>
        <xdr:cNvPr id="13980" name="직선 화살표 연결선 13979"/>
        <xdr:cNvCxnSpPr/>
      </xdr:nvCxnSpPr>
      <xdr:spPr>
        <a:xfrm>
          <a:off x="10574383" y="37261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22</xdr:row>
      <xdr:rowOff>19050</xdr:rowOff>
    </xdr:from>
    <xdr:to>
      <xdr:col>33</xdr:col>
      <xdr:colOff>125367</xdr:colOff>
      <xdr:row>22</xdr:row>
      <xdr:rowOff>133350</xdr:rowOff>
    </xdr:to>
    <xdr:sp macro="" textlink="">
      <xdr:nvSpPr>
        <xdr:cNvPr id="13981" name="19"/>
        <xdr:cNvSpPr/>
      </xdr:nvSpPr>
      <xdr:spPr>
        <a:xfrm>
          <a:off x="10574383" y="3516630"/>
          <a:ext cx="1046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22</xdr:row>
      <xdr:rowOff>76200</xdr:rowOff>
    </xdr:from>
    <xdr:to>
      <xdr:col>33</xdr:col>
      <xdr:colOff>124097</xdr:colOff>
      <xdr:row>22</xdr:row>
      <xdr:rowOff>76200</xdr:rowOff>
    </xdr:to>
    <xdr:cxnSp macro="">
      <xdr:nvCxnSpPr>
        <xdr:cNvPr id="13982" name="직선 화살표 연결선 13981"/>
        <xdr:cNvCxnSpPr/>
      </xdr:nvCxnSpPr>
      <xdr:spPr>
        <a:xfrm>
          <a:off x="10574383" y="357378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21</xdr:row>
      <xdr:rowOff>19050</xdr:rowOff>
    </xdr:from>
    <xdr:to>
      <xdr:col>33</xdr:col>
      <xdr:colOff>125367</xdr:colOff>
      <xdr:row>21</xdr:row>
      <xdr:rowOff>133350</xdr:rowOff>
    </xdr:to>
    <xdr:sp macro="" textlink="">
      <xdr:nvSpPr>
        <xdr:cNvPr id="13983" name="18"/>
        <xdr:cNvSpPr/>
      </xdr:nvSpPr>
      <xdr:spPr>
        <a:xfrm>
          <a:off x="10574383" y="3364230"/>
          <a:ext cx="1046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21</xdr:row>
      <xdr:rowOff>76200</xdr:rowOff>
    </xdr:from>
    <xdr:to>
      <xdr:col>33</xdr:col>
      <xdr:colOff>124097</xdr:colOff>
      <xdr:row>21</xdr:row>
      <xdr:rowOff>76200</xdr:rowOff>
    </xdr:to>
    <xdr:cxnSp macro="">
      <xdr:nvCxnSpPr>
        <xdr:cNvPr id="13984" name="직선 화살표 연결선 13983"/>
        <xdr:cNvCxnSpPr/>
      </xdr:nvCxnSpPr>
      <xdr:spPr>
        <a:xfrm>
          <a:off x="10574383" y="342138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20</xdr:row>
      <xdr:rowOff>19050</xdr:rowOff>
    </xdr:from>
    <xdr:to>
      <xdr:col>32</xdr:col>
      <xdr:colOff>125366</xdr:colOff>
      <xdr:row>20</xdr:row>
      <xdr:rowOff>133350</xdr:rowOff>
    </xdr:to>
    <xdr:sp macro="" textlink="">
      <xdr:nvSpPr>
        <xdr:cNvPr id="13985" name="17"/>
        <xdr:cNvSpPr/>
      </xdr:nvSpPr>
      <xdr:spPr>
        <a:xfrm>
          <a:off x="10491651" y="32118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20</xdr:row>
      <xdr:rowOff>76200</xdr:rowOff>
    </xdr:from>
    <xdr:to>
      <xdr:col>32</xdr:col>
      <xdr:colOff>124097</xdr:colOff>
      <xdr:row>20</xdr:row>
      <xdr:rowOff>76200</xdr:rowOff>
    </xdr:to>
    <xdr:cxnSp macro="">
      <xdr:nvCxnSpPr>
        <xdr:cNvPr id="13986" name="직선 화살표 연결선 13985"/>
        <xdr:cNvCxnSpPr/>
      </xdr:nvCxnSpPr>
      <xdr:spPr>
        <a:xfrm>
          <a:off x="10491651" y="32689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19</xdr:row>
      <xdr:rowOff>19050</xdr:rowOff>
    </xdr:from>
    <xdr:to>
      <xdr:col>32</xdr:col>
      <xdr:colOff>125366</xdr:colOff>
      <xdr:row>19</xdr:row>
      <xdr:rowOff>133350</xdr:rowOff>
    </xdr:to>
    <xdr:sp macro="" textlink="">
      <xdr:nvSpPr>
        <xdr:cNvPr id="13987" name="16"/>
        <xdr:cNvSpPr/>
      </xdr:nvSpPr>
      <xdr:spPr>
        <a:xfrm>
          <a:off x="10491651" y="3059430"/>
          <a:ext cx="4263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19</xdr:row>
      <xdr:rowOff>76200</xdr:rowOff>
    </xdr:from>
    <xdr:to>
      <xdr:col>32</xdr:col>
      <xdr:colOff>124097</xdr:colOff>
      <xdr:row>19</xdr:row>
      <xdr:rowOff>76200</xdr:rowOff>
    </xdr:to>
    <xdr:cxnSp macro="">
      <xdr:nvCxnSpPr>
        <xdr:cNvPr id="13988" name="직선 화살표 연결선 13987"/>
        <xdr:cNvCxnSpPr/>
      </xdr:nvCxnSpPr>
      <xdr:spPr>
        <a:xfrm>
          <a:off x="10491651" y="31165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18</xdr:row>
      <xdr:rowOff>19050</xdr:rowOff>
    </xdr:from>
    <xdr:to>
      <xdr:col>32</xdr:col>
      <xdr:colOff>125366</xdr:colOff>
      <xdr:row>18</xdr:row>
      <xdr:rowOff>133350</xdr:rowOff>
    </xdr:to>
    <xdr:sp macro="" textlink="">
      <xdr:nvSpPr>
        <xdr:cNvPr id="13989" name="15"/>
        <xdr:cNvSpPr/>
      </xdr:nvSpPr>
      <xdr:spPr>
        <a:xfrm>
          <a:off x="10470969" y="2907030"/>
          <a:ext cx="6331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18</xdr:row>
      <xdr:rowOff>76200</xdr:rowOff>
    </xdr:from>
    <xdr:to>
      <xdr:col>32</xdr:col>
      <xdr:colOff>124097</xdr:colOff>
      <xdr:row>18</xdr:row>
      <xdr:rowOff>76200</xdr:rowOff>
    </xdr:to>
    <xdr:cxnSp macro="">
      <xdr:nvCxnSpPr>
        <xdr:cNvPr id="13990" name="직선 화살표 연결선 13989"/>
        <xdr:cNvCxnSpPr/>
      </xdr:nvCxnSpPr>
      <xdr:spPr>
        <a:xfrm>
          <a:off x="10470969" y="29641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17</xdr:row>
      <xdr:rowOff>19050</xdr:rowOff>
    </xdr:from>
    <xdr:to>
      <xdr:col>32</xdr:col>
      <xdr:colOff>125366</xdr:colOff>
      <xdr:row>17</xdr:row>
      <xdr:rowOff>133350</xdr:rowOff>
    </xdr:to>
    <xdr:sp macro="" textlink="">
      <xdr:nvSpPr>
        <xdr:cNvPr id="13991" name="14"/>
        <xdr:cNvSpPr/>
      </xdr:nvSpPr>
      <xdr:spPr>
        <a:xfrm>
          <a:off x="10491651" y="27546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17</xdr:row>
      <xdr:rowOff>76200</xdr:rowOff>
    </xdr:from>
    <xdr:to>
      <xdr:col>32</xdr:col>
      <xdr:colOff>124097</xdr:colOff>
      <xdr:row>17</xdr:row>
      <xdr:rowOff>76200</xdr:rowOff>
    </xdr:to>
    <xdr:cxnSp macro="">
      <xdr:nvCxnSpPr>
        <xdr:cNvPr id="13992" name="직선 화살표 연결선 13991"/>
        <xdr:cNvCxnSpPr/>
      </xdr:nvCxnSpPr>
      <xdr:spPr>
        <a:xfrm>
          <a:off x="10491651" y="28117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16</xdr:row>
      <xdr:rowOff>19050</xdr:rowOff>
    </xdr:from>
    <xdr:to>
      <xdr:col>32</xdr:col>
      <xdr:colOff>104684</xdr:colOff>
      <xdr:row>16</xdr:row>
      <xdr:rowOff>133350</xdr:rowOff>
    </xdr:to>
    <xdr:sp macro="" textlink="">
      <xdr:nvSpPr>
        <xdr:cNvPr id="13993" name="13"/>
        <xdr:cNvSpPr/>
      </xdr:nvSpPr>
      <xdr:spPr>
        <a:xfrm>
          <a:off x="10470969" y="26022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16</xdr:row>
      <xdr:rowOff>76200</xdr:rowOff>
    </xdr:from>
    <xdr:to>
      <xdr:col>32</xdr:col>
      <xdr:colOff>103414</xdr:colOff>
      <xdr:row>16</xdr:row>
      <xdr:rowOff>76200</xdr:rowOff>
    </xdr:to>
    <xdr:cxnSp macro="">
      <xdr:nvCxnSpPr>
        <xdr:cNvPr id="13994" name="직선 화살표 연결선 13993"/>
        <xdr:cNvCxnSpPr/>
      </xdr:nvCxnSpPr>
      <xdr:spPr>
        <a:xfrm>
          <a:off x="10470969" y="265938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15</xdr:row>
      <xdr:rowOff>19050</xdr:rowOff>
    </xdr:from>
    <xdr:to>
      <xdr:col>32</xdr:col>
      <xdr:colOff>125366</xdr:colOff>
      <xdr:row>15</xdr:row>
      <xdr:rowOff>133350</xdr:rowOff>
    </xdr:to>
    <xdr:sp macro="" textlink="">
      <xdr:nvSpPr>
        <xdr:cNvPr id="13995" name="12"/>
        <xdr:cNvSpPr/>
      </xdr:nvSpPr>
      <xdr:spPr>
        <a:xfrm>
          <a:off x="10470969" y="2449830"/>
          <a:ext cx="6331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15</xdr:row>
      <xdr:rowOff>76200</xdr:rowOff>
    </xdr:from>
    <xdr:to>
      <xdr:col>32</xdr:col>
      <xdr:colOff>124097</xdr:colOff>
      <xdr:row>15</xdr:row>
      <xdr:rowOff>76200</xdr:rowOff>
    </xdr:to>
    <xdr:cxnSp macro="">
      <xdr:nvCxnSpPr>
        <xdr:cNvPr id="13996" name="직선 화살표 연결선 13995"/>
        <xdr:cNvCxnSpPr/>
      </xdr:nvCxnSpPr>
      <xdr:spPr>
        <a:xfrm>
          <a:off x="10470969" y="25069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41365</xdr:colOff>
      <xdr:row>14</xdr:row>
      <xdr:rowOff>19050</xdr:rowOff>
    </xdr:from>
    <xdr:to>
      <xdr:col>32</xdr:col>
      <xdr:colOff>84001</xdr:colOff>
      <xdr:row>14</xdr:row>
      <xdr:rowOff>133350</xdr:rowOff>
    </xdr:to>
    <xdr:sp macro="" textlink="">
      <xdr:nvSpPr>
        <xdr:cNvPr id="13997" name="11"/>
        <xdr:cNvSpPr/>
      </xdr:nvSpPr>
      <xdr:spPr>
        <a:xfrm>
          <a:off x="10450285" y="22974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41365</xdr:colOff>
      <xdr:row>14</xdr:row>
      <xdr:rowOff>76200</xdr:rowOff>
    </xdr:from>
    <xdr:to>
      <xdr:col>32</xdr:col>
      <xdr:colOff>82731</xdr:colOff>
      <xdr:row>14</xdr:row>
      <xdr:rowOff>76200</xdr:rowOff>
    </xdr:to>
    <xdr:cxnSp macro="">
      <xdr:nvCxnSpPr>
        <xdr:cNvPr id="13998" name="직선 화살표 연결선 13997"/>
        <xdr:cNvCxnSpPr/>
      </xdr:nvCxnSpPr>
      <xdr:spPr>
        <a:xfrm>
          <a:off x="10450285" y="23545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41365</xdr:colOff>
      <xdr:row>13</xdr:row>
      <xdr:rowOff>19050</xdr:rowOff>
    </xdr:from>
    <xdr:to>
      <xdr:col>32</xdr:col>
      <xdr:colOff>84001</xdr:colOff>
      <xdr:row>13</xdr:row>
      <xdr:rowOff>133350</xdr:rowOff>
    </xdr:to>
    <xdr:sp macro="" textlink="">
      <xdr:nvSpPr>
        <xdr:cNvPr id="13999" name="10"/>
        <xdr:cNvSpPr/>
      </xdr:nvSpPr>
      <xdr:spPr>
        <a:xfrm>
          <a:off x="10450285" y="2145030"/>
          <a:ext cx="4263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41365</xdr:colOff>
      <xdr:row>13</xdr:row>
      <xdr:rowOff>76200</xdr:rowOff>
    </xdr:from>
    <xdr:to>
      <xdr:col>32</xdr:col>
      <xdr:colOff>82731</xdr:colOff>
      <xdr:row>13</xdr:row>
      <xdr:rowOff>76200</xdr:rowOff>
    </xdr:to>
    <xdr:cxnSp macro="">
      <xdr:nvCxnSpPr>
        <xdr:cNvPr id="14000" name="직선 화살표 연결선 13999"/>
        <xdr:cNvCxnSpPr/>
      </xdr:nvCxnSpPr>
      <xdr:spPr>
        <a:xfrm>
          <a:off x="10450285" y="22021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12</xdr:row>
      <xdr:rowOff>19050</xdr:rowOff>
    </xdr:from>
    <xdr:to>
      <xdr:col>32</xdr:col>
      <xdr:colOff>63318</xdr:colOff>
      <xdr:row>12</xdr:row>
      <xdr:rowOff>133350</xdr:rowOff>
    </xdr:to>
    <xdr:sp macro="" textlink="">
      <xdr:nvSpPr>
        <xdr:cNvPr id="14001" name="9"/>
        <xdr:cNvSpPr/>
      </xdr:nvSpPr>
      <xdr:spPr>
        <a:xfrm>
          <a:off x="10429603" y="19926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12</xdr:row>
      <xdr:rowOff>76200</xdr:rowOff>
    </xdr:from>
    <xdr:to>
      <xdr:col>32</xdr:col>
      <xdr:colOff>62049</xdr:colOff>
      <xdr:row>12</xdr:row>
      <xdr:rowOff>76200</xdr:rowOff>
    </xdr:to>
    <xdr:cxnSp macro="">
      <xdr:nvCxnSpPr>
        <xdr:cNvPr id="14002" name="직선 화살표 연결선 14001"/>
        <xdr:cNvCxnSpPr/>
      </xdr:nvCxnSpPr>
      <xdr:spPr>
        <a:xfrm>
          <a:off x="10429603" y="20497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11</xdr:row>
      <xdr:rowOff>19050</xdr:rowOff>
    </xdr:from>
    <xdr:to>
      <xdr:col>32</xdr:col>
      <xdr:colOff>63318</xdr:colOff>
      <xdr:row>11</xdr:row>
      <xdr:rowOff>133350</xdr:rowOff>
    </xdr:to>
    <xdr:sp macro="" textlink="">
      <xdr:nvSpPr>
        <xdr:cNvPr id="14003" name="8"/>
        <xdr:cNvSpPr/>
      </xdr:nvSpPr>
      <xdr:spPr>
        <a:xfrm>
          <a:off x="10429603" y="18402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11</xdr:row>
      <xdr:rowOff>76200</xdr:rowOff>
    </xdr:from>
    <xdr:to>
      <xdr:col>32</xdr:col>
      <xdr:colOff>62049</xdr:colOff>
      <xdr:row>11</xdr:row>
      <xdr:rowOff>76200</xdr:rowOff>
    </xdr:to>
    <xdr:cxnSp macro="">
      <xdr:nvCxnSpPr>
        <xdr:cNvPr id="14004" name="직선 화살표 연결선 14003"/>
        <xdr:cNvCxnSpPr/>
      </xdr:nvCxnSpPr>
      <xdr:spPr>
        <a:xfrm>
          <a:off x="10429603" y="18973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10</xdr:row>
      <xdr:rowOff>19050</xdr:rowOff>
    </xdr:from>
    <xdr:to>
      <xdr:col>32</xdr:col>
      <xdr:colOff>63318</xdr:colOff>
      <xdr:row>10</xdr:row>
      <xdr:rowOff>133350</xdr:rowOff>
    </xdr:to>
    <xdr:sp macro="" textlink="">
      <xdr:nvSpPr>
        <xdr:cNvPr id="14005" name="7"/>
        <xdr:cNvSpPr/>
      </xdr:nvSpPr>
      <xdr:spPr>
        <a:xfrm>
          <a:off x="10429603" y="1687830"/>
          <a:ext cx="4263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10</xdr:row>
      <xdr:rowOff>76200</xdr:rowOff>
    </xdr:from>
    <xdr:to>
      <xdr:col>32</xdr:col>
      <xdr:colOff>62049</xdr:colOff>
      <xdr:row>10</xdr:row>
      <xdr:rowOff>76200</xdr:rowOff>
    </xdr:to>
    <xdr:cxnSp macro="">
      <xdr:nvCxnSpPr>
        <xdr:cNvPr id="14006" name="직선 화살표 연결선 14005"/>
        <xdr:cNvCxnSpPr/>
      </xdr:nvCxnSpPr>
      <xdr:spPr>
        <a:xfrm>
          <a:off x="10429603" y="17449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9</xdr:row>
      <xdr:rowOff>19050</xdr:rowOff>
    </xdr:from>
    <xdr:to>
      <xdr:col>32</xdr:col>
      <xdr:colOff>125366</xdr:colOff>
      <xdr:row>9</xdr:row>
      <xdr:rowOff>133350</xdr:rowOff>
    </xdr:to>
    <xdr:sp macro="" textlink="">
      <xdr:nvSpPr>
        <xdr:cNvPr id="14007" name="6"/>
        <xdr:cNvSpPr/>
      </xdr:nvSpPr>
      <xdr:spPr>
        <a:xfrm>
          <a:off x="10429603" y="1535430"/>
          <a:ext cx="1046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9</xdr:row>
      <xdr:rowOff>76200</xdr:rowOff>
    </xdr:from>
    <xdr:to>
      <xdr:col>32</xdr:col>
      <xdr:colOff>124097</xdr:colOff>
      <xdr:row>9</xdr:row>
      <xdr:rowOff>76200</xdr:rowOff>
    </xdr:to>
    <xdr:cxnSp macro="">
      <xdr:nvCxnSpPr>
        <xdr:cNvPr id="14009" name="직선 화살표 연결선 14008"/>
        <xdr:cNvCxnSpPr/>
      </xdr:nvCxnSpPr>
      <xdr:spPr>
        <a:xfrm>
          <a:off x="10429603" y="159258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8</xdr:row>
      <xdr:rowOff>19050</xdr:rowOff>
    </xdr:from>
    <xdr:to>
      <xdr:col>31</xdr:col>
      <xdr:colOff>125367</xdr:colOff>
      <xdr:row>8</xdr:row>
      <xdr:rowOff>133350</xdr:rowOff>
    </xdr:to>
    <xdr:sp macro="" textlink="">
      <xdr:nvSpPr>
        <xdr:cNvPr id="14010" name="5"/>
        <xdr:cNvSpPr/>
      </xdr:nvSpPr>
      <xdr:spPr>
        <a:xfrm>
          <a:off x="10346872" y="13830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8</xdr:row>
      <xdr:rowOff>76200</xdr:rowOff>
    </xdr:from>
    <xdr:to>
      <xdr:col>31</xdr:col>
      <xdr:colOff>124097</xdr:colOff>
      <xdr:row>8</xdr:row>
      <xdr:rowOff>76200</xdr:rowOff>
    </xdr:to>
    <xdr:cxnSp macro="">
      <xdr:nvCxnSpPr>
        <xdr:cNvPr id="14011" name="직선 화살표 연결선 14010"/>
        <xdr:cNvCxnSpPr/>
      </xdr:nvCxnSpPr>
      <xdr:spPr>
        <a:xfrm>
          <a:off x="10346872" y="144018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62048</xdr:colOff>
      <xdr:row>7</xdr:row>
      <xdr:rowOff>19050</xdr:rowOff>
    </xdr:from>
    <xdr:to>
      <xdr:col>31</xdr:col>
      <xdr:colOff>104684</xdr:colOff>
      <xdr:row>7</xdr:row>
      <xdr:rowOff>133350</xdr:rowOff>
    </xdr:to>
    <xdr:sp macro="" textlink="">
      <xdr:nvSpPr>
        <xdr:cNvPr id="14012" name="4"/>
        <xdr:cNvSpPr/>
      </xdr:nvSpPr>
      <xdr:spPr>
        <a:xfrm>
          <a:off x="10326188" y="12306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62048</xdr:colOff>
      <xdr:row>7</xdr:row>
      <xdr:rowOff>76200</xdr:rowOff>
    </xdr:from>
    <xdr:to>
      <xdr:col>31</xdr:col>
      <xdr:colOff>103414</xdr:colOff>
      <xdr:row>7</xdr:row>
      <xdr:rowOff>76200</xdr:rowOff>
    </xdr:to>
    <xdr:cxnSp macro="">
      <xdr:nvCxnSpPr>
        <xdr:cNvPr id="14013" name="직선 화살표 연결선 14012"/>
        <xdr:cNvCxnSpPr/>
      </xdr:nvCxnSpPr>
      <xdr:spPr>
        <a:xfrm>
          <a:off x="10326188" y="12877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6</xdr:row>
      <xdr:rowOff>19050</xdr:rowOff>
    </xdr:from>
    <xdr:to>
      <xdr:col>31</xdr:col>
      <xdr:colOff>84001</xdr:colOff>
      <xdr:row>6</xdr:row>
      <xdr:rowOff>133350</xdr:rowOff>
    </xdr:to>
    <xdr:sp macro="" textlink="">
      <xdr:nvSpPr>
        <xdr:cNvPr id="14014" name="3"/>
        <xdr:cNvSpPr/>
      </xdr:nvSpPr>
      <xdr:spPr>
        <a:xfrm>
          <a:off x="10305506" y="10782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6</xdr:row>
      <xdr:rowOff>76200</xdr:rowOff>
    </xdr:from>
    <xdr:to>
      <xdr:col>31</xdr:col>
      <xdr:colOff>82732</xdr:colOff>
      <xdr:row>6</xdr:row>
      <xdr:rowOff>76200</xdr:rowOff>
    </xdr:to>
    <xdr:cxnSp macro="">
      <xdr:nvCxnSpPr>
        <xdr:cNvPr id="14015" name="직선 화살표 연결선 14014"/>
        <xdr:cNvCxnSpPr/>
      </xdr:nvCxnSpPr>
      <xdr:spPr>
        <a:xfrm>
          <a:off x="10305506" y="11353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5</xdr:row>
      <xdr:rowOff>19050</xdr:rowOff>
    </xdr:from>
    <xdr:to>
      <xdr:col>31</xdr:col>
      <xdr:colOff>125367</xdr:colOff>
      <xdr:row>5</xdr:row>
      <xdr:rowOff>133350</xdr:rowOff>
    </xdr:to>
    <xdr:sp macro="" textlink="">
      <xdr:nvSpPr>
        <xdr:cNvPr id="24716" name="2"/>
        <xdr:cNvSpPr/>
      </xdr:nvSpPr>
      <xdr:spPr>
        <a:xfrm>
          <a:off x="10305506" y="925830"/>
          <a:ext cx="8400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5</xdr:row>
      <xdr:rowOff>76200</xdr:rowOff>
    </xdr:from>
    <xdr:to>
      <xdr:col>31</xdr:col>
      <xdr:colOff>124097</xdr:colOff>
      <xdr:row>5</xdr:row>
      <xdr:rowOff>76200</xdr:rowOff>
    </xdr:to>
    <xdr:cxnSp macro="">
      <xdr:nvCxnSpPr>
        <xdr:cNvPr id="24717" name="직선 화살표 연결선 24716"/>
        <xdr:cNvCxnSpPr/>
      </xdr:nvCxnSpPr>
      <xdr:spPr>
        <a:xfrm>
          <a:off x="10305506" y="982980"/>
          <a:ext cx="827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4</xdr:row>
      <xdr:rowOff>19050</xdr:rowOff>
    </xdr:from>
    <xdr:to>
      <xdr:col>31</xdr:col>
      <xdr:colOff>125367</xdr:colOff>
      <xdr:row>4</xdr:row>
      <xdr:rowOff>133350</xdr:rowOff>
    </xdr:to>
    <xdr:sp macro="" textlink="">
      <xdr:nvSpPr>
        <xdr:cNvPr id="24718" name="1"/>
        <xdr:cNvSpPr/>
      </xdr:nvSpPr>
      <xdr:spPr>
        <a:xfrm>
          <a:off x="10305506" y="773430"/>
          <a:ext cx="8400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4</xdr:row>
      <xdr:rowOff>76200</xdr:rowOff>
    </xdr:from>
    <xdr:to>
      <xdr:col>31</xdr:col>
      <xdr:colOff>124097</xdr:colOff>
      <xdr:row>4</xdr:row>
      <xdr:rowOff>76200</xdr:rowOff>
    </xdr:to>
    <xdr:cxnSp macro="">
      <xdr:nvCxnSpPr>
        <xdr:cNvPr id="24719" name="직선 화살표 연결선 24718"/>
        <xdr:cNvCxnSpPr/>
      </xdr:nvCxnSpPr>
      <xdr:spPr>
        <a:xfrm>
          <a:off x="10305506" y="830580"/>
          <a:ext cx="827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173831</xdr:colOff>
      <xdr:row>5</xdr:row>
      <xdr:rowOff>0</xdr:rowOff>
    </xdr:from>
    <xdr:to>
      <xdr:col>18</xdr:col>
      <xdr:colOff>573881</xdr:colOff>
      <xdr:row>17</xdr:row>
      <xdr:rowOff>76200</xdr:rowOff>
    </xdr:to>
    <xdr:graphicFrame macro="">
      <xdr:nvGraphicFramePr>
        <xdr:cNvPr id="4" name="차트 3">
          <a:extLst>
            <a:ext uri="{FF2B5EF4-FFF2-40B4-BE49-F238E27FC236}">
              <a16:creationId xmlns:a16="http://schemas.microsoft.com/office/drawing/2014/main" id="{37EB1700-8C51-43F5-A2DC-A0D99AB797C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project-scheduler/" TargetMode="External"/><Relationship Id="rId13" Type="http://schemas.openxmlformats.org/officeDocument/2006/relationships/hyperlink" Target="https://xlworks.net/xlgantt-howto-12-integration-with-excel/" TargetMode="External"/><Relationship Id="rId3" Type="http://schemas.openxmlformats.org/officeDocument/2006/relationships/hyperlink" Target="https://xlworks.net/xlgantt_howto_02_task/" TargetMode="External"/><Relationship Id="rId7" Type="http://schemas.openxmlformats.org/officeDocument/2006/relationships/hyperlink" Target="https://xlworks.net/xlgantt-howto-07-deliverables/" TargetMode="External"/><Relationship Id="rId12" Type="http://schemas.openxmlformats.org/officeDocument/2006/relationships/hyperlink" Target="https://xlworks.net/xlgantt-howto-11-calendar/" TargetMode="External"/><Relationship Id="rId2" Type="http://schemas.openxmlformats.org/officeDocument/2006/relationships/hyperlink" Target="https://xlworks.net/xlgantt_easy_tip/" TargetMode="External"/><Relationship Id="rId16" Type="http://schemas.openxmlformats.org/officeDocument/2006/relationships/printerSettings" Target="../printerSettings/printerSettings2.bin"/><Relationship Id="rId1" Type="http://schemas.openxmlformats.org/officeDocument/2006/relationships/hyperlink" Target="http://xlworks.net/" TargetMode="External"/><Relationship Id="rId6" Type="http://schemas.openxmlformats.org/officeDocument/2006/relationships/hyperlink" Target="https://xlworks.net/xlgantt_howto_06_schedule_change_management/" TargetMode="External"/><Relationship Id="rId11" Type="http://schemas.openxmlformats.org/officeDocument/2006/relationships/hyperlink" Target="https://xlworks.net/xlgantt-howto-10-import-schedule/" TargetMode="External"/><Relationship Id="rId5" Type="http://schemas.openxmlformats.org/officeDocument/2006/relationships/hyperlink" Target="https://xlworks.net/xlgantt_howto_05_analysis_report/" TargetMode="External"/><Relationship Id="rId15" Type="http://schemas.openxmlformats.org/officeDocument/2006/relationships/hyperlink" Target="https://xlworks.net/xlgantt-howto-13-server-data" TargetMode="External"/><Relationship Id="rId10" Type="http://schemas.openxmlformats.org/officeDocument/2006/relationships/hyperlink" Target="https://xlworks.net/xlgantt-howto-09-multilingual-support/" TargetMode="External"/><Relationship Id="rId4" Type="http://schemas.openxmlformats.org/officeDocument/2006/relationships/hyperlink" Target="https://xlworks.net/xlgantt_howto_03_gantt_chart/" TargetMode="External"/><Relationship Id="rId9" Type="http://schemas.openxmlformats.org/officeDocument/2006/relationships/hyperlink" Target="https://xlworks.net/xlgantt-howto-08-add-tasks-to-outlook/" TargetMode="External"/><Relationship Id="rId14" Type="http://schemas.openxmlformats.org/officeDocument/2006/relationships/hyperlink" Target="https://xlworks.net/xlgantt_howto_04_project_progress/"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xlworks.net/"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Normal="100" workbookViewId="0">
      <selection activeCell="C24" sqref="C24"/>
    </sheetView>
  </sheetViews>
  <sheetFormatPr defaultColWidth="10" defaultRowHeight="13.8"/>
  <cols>
    <col min="1" max="1" width="28.19921875" style="91" bestFit="1" customWidth="1"/>
    <col min="2" max="2" width="23.09765625" style="88" bestFit="1" customWidth="1"/>
    <col min="3" max="3" width="53.3984375" style="88" bestFit="1" customWidth="1"/>
    <col min="4" max="4" width="27.3984375" style="88" bestFit="1" customWidth="1"/>
    <col min="5" max="5" width="12.8984375" style="88" bestFit="1" customWidth="1"/>
    <col min="6" max="6" width="17.69921875" style="88" bestFit="1" customWidth="1"/>
    <col min="7" max="7" width="21.8984375" style="91" bestFit="1" customWidth="1"/>
    <col min="8" max="8" width="23.69921875" style="91" bestFit="1" customWidth="1"/>
    <col min="9" max="9" width="9.69921875" style="91" bestFit="1" customWidth="1"/>
    <col min="10" max="10" width="25.09765625" style="91" bestFit="1" customWidth="1"/>
    <col min="11" max="11" width="60.69921875" style="91" bestFit="1" customWidth="1"/>
    <col min="12" max="12" width="25.09765625" style="91" bestFit="1" customWidth="1"/>
    <col min="13" max="13" width="4.8984375" style="91" bestFit="1" customWidth="1"/>
    <col min="14" max="14" width="23" style="91" bestFit="1" customWidth="1"/>
    <col min="15" max="15" width="14.5" style="91" customWidth="1"/>
    <col min="16" max="16" width="28.3984375" style="91" bestFit="1" customWidth="1"/>
    <col min="17" max="17" width="9.5" style="91" bestFit="1" customWidth="1"/>
    <col min="18" max="18" width="27.69921875" style="91" bestFit="1" customWidth="1"/>
    <col min="19" max="19" width="4.8984375" style="91" bestFit="1" customWidth="1"/>
    <col min="20" max="20" width="25" style="91" bestFit="1" customWidth="1"/>
    <col min="21" max="21" width="4.3984375" style="91" bestFit="1" customWidth="1"/>
    <col min="22" max="22" width="23" style="91" bestFit="1" customWidth="1"/>
    <col min="23" max="23" width="8.09765625" style="91" bestFit="1" customWidth="1"/>
    <col min="24" max="24" width="22.59765625" style="91" bestFit="1" customWidth="1"/>
    <col min="25" max="25" width="9.5" style="91" bestFit="1" customWidth="1"/>
    <col min="26" max="26" width="26.19921875" style="91" bestFit="1" customWidth="1"/>
    <col min="27" max="27" width="7.8984375" style="91" bestFit="1" customWidth="1"/>
    <col min="28" max="28" width="21.19921875" style="91" bestFit="1" customWidth="1"/>
    <col min="29" max="29" width="15.59765625" style="91" bestFit="1" customWidth="1"/>
    <col min="30" max="30" width="23.5" style="91" bestFit="1" customWidth="1"/>
    <col min="31" max="31" width="39.59765625" style="91" bestFit="1" customWidth="1"/>
    <col min="32" max="32" width="22.59765625" style="91" bestFit="1" customWidth="1"/>
    <col min="33" max="33" width="60.8984375" style="91" bestFit="1" customWidth="1"/>
    <col min="34" max="34" width="28.3984375" style="91" bestFit="1" customWidth="1"/>
    <col min="35" max="35" width="11.5" style="91" bestFit="1" customWidth="1"/>
    <col min="36" max="36" width="25.09765625" style="91" bestFit="1" customWidth="1"/>
    <col min="37" max="37" width="4" style="91" bestFit="1" customWidth="1"/>
    <col min="38" max="38" width="14.8984375" style="91" bestFit="1" customWidth="1"/>
    <col min="39" max="39" width="11.59765625" style="91" bestFit="1" customWidth="1"/>
    <col min="40" max="40" width="22.59765625" style="91" bestFit="1" customWidth="1"/>
    <col min="41" max="41" width="5.8984375" style="91" bestFit="1" customWidth="1"/>
    <col min="42" max="42" width="15.8984375" style="91" bestFit="1" customWidth="1"/>
    <col min="43" max="43" width="6.3984375" style="91" bestFit="1" customWidth="1"/>
    <col min="44" max="44" width="13.19921875" style="91" bestFit="1" customWidth="1"/>
    <col min="45" max="45" width="3.19921875" style="91" bestFit="1" customWidth="1"/>
    <col min="46" max="46" width="14.8984375" style="91" bestFit="1" customWidth="1"/>
    <col min="47" max="47" width="28.59765625" style="91" bestFit="1" customWidth="1"/>
    <col min="48" max="48" width="22.59765625" style="91" bestFit="1" customWidth="1"/>
    <col min="49" max="49" width="5.3984375" style="91" bestFit="1" customWidth="1"/>
    <col min="50" max="50" width="15.8984375" style="91" bestFit="1" customWidth="1"/>
    <col min="51" max="51" width="10" style="91"/>
    <col min="52" max="52" width="13.19921875" style="91" bestFit="1" customWidth="1"/>
    <col min="53" max="53" width="10" style="91"/>
    <col min="54" max="54" width="14.8984375" style="91" bestFit="1" customWidth="1"/>
    <col min="55" max="55" width="10" style="91"/>
    <col min="56" max="56" width="22.59765625" style="91" bestFit="1" customWidth="1"/>
    <col min="57" max="57" width="10" style="91"/>
    <col min="58" max="58" width="15.8984375" style="91" bestFit="1" customWidth="1"/>
    <col min="59" max="59" width="10" style="91"/>
    <col min="60" max="60" width="13.19921875" style="91" bestFit="1" customWidth="1"/>
    <col min="61" max="61" width="10" style="91"/>
    <col min="62" max="62" width="14.8984375" style="91" bestFit="1" customWidth="1"/>
    <col min="63" max="63" width="10" style="91"/>
    <col min="64" max="64" width="22.59765625" style="91" bestFit="1" customWidth="1"/>
    <col min="65" max="65" width="10" style="91"/>
    <col min="66" max="66" width="33.69921875" style="91" bestFit="1" customWidth="1"/>
    <col min="67" max="16384" width="10" style="91"/>
  </cols>
  <sheetData>
    <row r="1" spans="1:64" s="88" customFormat="1">
      <c r="A1" s="87" t="s">
        <v>3</v>
      </c>
      <c r="B1" s="87" t="s">
        <v>4</v>
      </c>
      <c r="C1" s="87" t="s">
        <v>5</v>
      </c>
      <c r="D1" s="87" t="s">
        <v>6</v>
      </c>
      <c r="E1" s="87" t="s">
        <v>7</v>
      </c>
      <c r="F1" s="87" t="s">
        <v>8</v>
      </c>
    </row>
    <row r="2" spans="1:64">
      <c r="A2" s="89" t="s">
        <v>9</v>
      </c>
      <c r="B2" s="90" t="s">
        <v>10</v>
      </c>
      <c r="C2" s="90"/>
      <c r="D2" s="90"/>
      <c r="E2" s="90" t="s">
        <v>11</v>
      </c>
      <c r="F2" s="90"/>
    </row>
    <row r="3" spans="1:64">
      <c r="A3" s="89" t="s">
        <v>389</v>
      </c>
      <c r="B3" s="90" t="s">
        <v>10</v>
      </c>
      <c r="C3" s="90"/>
      <c r="D3" s="90"/>
      <c r="E3" s="90" t="s">
        <v>11</v>
      </c>
      <c r="F3" s="90"/>
    </row>
    <row r="4" spans="1:64">
      <c r="A4" s="89" t="s">
        <v>12</v>
      </c>
      <c r="B4" s="100" t="s">
        <v>390</v>
      </c>
      <c r="C4" s="90"/>
      <c r="D4" s="90"/>
      <c r="E4" s="90" t="s">
        <v>11</v>
      </c>
      <c r="F4" s="90"/>
    </row>
    <row r="5" spans="1:64">
      <c r="A5" s="89" t="s">
        <v>13</v>
      </c>
      <c r="B5" s="90" t="s">
        <v>14</v>
      </c>
      <c r="C5" s="90"/>
      <c r="D5" s="90"/>
      <c r="E5" s="90" t="s">
        <v>11</v>
      </c>
      <c r="F5" s="90"/>
    </row>
    <row r="6" spans="1:64">
      <c r="A6" s="89" t="s">
        <v>15</v>
      </c>
      <c r="B6" s="100" t="s">
        <v>16</v>
      </c>
      <c r="C6" s="90"/>
      <c r="D6" s="90"/>
      <c r="E6" s="90" t="s">
        <v>11</v>
      </c>
      <c r="F6" s="90"/>
    </row>
    <row r="7" spans="1:64">
      <c r="A7" s="89" t="s">
        <v>17</v>
      </c>
      <c r="B7" s="89" t="s">
        <v>10</v>
      </c>
      <c r="C7" s="90"/>
      <c r="D7" s="90"/>
      <c r="E7" s="90" t="s">
        <v>11</v>
      </c>
      <c r="F7" s="90"/>
    </row>
    <row r="8" spans="1:64">
      <c r="A8" s="89" t="s">
        <v>18</v>
      </c>
      <c r="B8" s="92" t="s">
        <v>1212</v>
      </c>
      <c r="C8" s="90" t="s">
        <v>1337</v>
      </c>
      <c r="D8" s="90">
        <v>82</v>
      </c>
      <c r="E8" s="90" t="s">
        <v>19</v>
      </c>
      <c r="F8" s="90"/>
    </row>
    <row r="9" spans="1:64">
      <c r="A9" s="89" t="s">
        <v>20</v>
      </c>
      <c r="B9" s="93">
        <v>43734</v>
      </c>
      <c r="C9" s="90"/>
      <c r="D9" s="90"/>
      <c r="E9" s="90" t="s">
        <v>11</v>
      </c>
      <c r="F9" s="90"/>
    </row>
    <row r="10" spans="1:64">
      <c r="A10" s="94" t="s">
        <v>21</v>
      </c>
      <c r="B10" s="95" t="s">
        <v>22</v>
      </c>
      <c r="C10" s="95"/>
      <c r="D10" s="95"/>
      <c r="E10" s="95" t="s">
        <v>11</v>
      </c>
      <c r="F10" s="95"/>
    </row>
    <row r="11" spans="1:64">
      <c r="A11" s="91" t="s">
        <v>391</v>
      </c>
      <c r="B11" s="96" t="s">
        <v>23</v>
      </c>
      <c r="C11" s="88" t="s">
        <v>1369</v>
      </c>
      <c r="D11" s="88" t="s">
        <v>24</v>
      </c>
      <c r="E11" s="97">
        <v>1</v>
      </c>
      <c r="F11" s="98" t="s">
        <v>25</v>
      </c>
      <c r="G11" s="99">
        <v>43802</v>
      </c>
      <c r="H11" s="98" t="s">
        <v>26</v>
      </c>
      <c r="I11" s="99">
        <v>43845</v>
      </c>
      <c r="J11" s="91" t="s">
        <v>408</v>
      </c>
      <c r="K11" s="91" t="s">
        <v>1354</v>
      </c>
      <c r="L11" s="91" t="s">
        <v>405</v>
      </c>
      <c r="M11" s="91">
        <v>1</v>
      </c>
      <c r="N11" s="96" t="s">
        <v>27</v>
      </c>
      <c r="O11" s="88">
        <v>0</v>
      </c>
      <c r="P11" s="88" t="s">
        <v>28</v>
      </c>
      <c r="Q11" s="96" t="s">
        <v>1370</v>
      </c>
      <c r="R11" s="91" t="s">
        <v>410</v>
      </c>
      <c r="S11" s="91">
        <v>1</v>
      </c>
      <c r="T11" s="91" t="s">
        <v>415</v>
      </c>
      <c r="U11" s="91">
        <v>1</v>
      </c>
      <c r="V11" s="91" t="s">
        <v>416</v>
      </c>
      <c r="W11" s="91">
        <v>1</v>
      </c>
      <c r="X11" s="91" t="s">
        <v>419</v>
      </c>
      <c r="Y11" s="91">
        <v>1</v>
      </c>
      <c r="Z11" s="91" t="s">
        <v>579</v>
      </c>
      <c r="AA11" s="91">
        <v>0</v>
      </c>
      <c r="AB11" s="91" t="s">
        <v>993</v>
      </c>
      <c r="AC11" s="91">
        <v>0</v>
      </c>
      <c r="AD11" s="91" t="s">
        <v>1029</v>
      </c>
      <c r="AE11" s="91">
        <v>1</v>
      </c>
    </row>
    <row r="12" spans="1:64">
      <c r="A12" s="91" t="s">
        <v>394</v>
      </c>
      <c r="B12" s="91" t="s">
        <v>395</v>
      </c>
      <c r="C12" s="91">
        <v>1</v>
      </c>
      <c r="D12" s="91" t="s">
        <v>396</v>
      </c>
      <c r="E12" s="91">
        <v>1</v>
      </c>
      <c r="F12" s="91" t="s">
        <v>397</v>
      </c>
      <c r="G12" s="91">
        <v>0</v>
      </c>
      <c r="H12" s="91" t="s">
        <v>398</v>
      </c>
      <c r="I12" s="91">
        <v>1</v>
      </c>
      <c r="J12" s="91" t="s">
        <v>399</v>
      </c>
      <c r="K12" s="91">
        <v>0.7</v>
      </c>
      <c r="L12" s="91" t="s">
        <v>400</v>
      </c>
      <c r="M12" s="91">
        <v>2</v>
      </c>
      <c r="N12" s="91" t="s">
        <v>401</v>
      </c>
      <c r="O12" s="91">
        <v>1</v>
      </c>
      <c r="P12" s="91" t="s">
        <v>404</v>
      </c>
      <c r="Q12" s="91">
        <v>1</v>
      </c>
      <c r="R12" s="91" t="s">
        <v>411</v>
      </c>
      <c r="S12" s="91">
        <v>7</v>
      </c>
      <c r="T12" s="91" t="s">
        <v>412</v>
      </c>
      <c r="U12" s="91">
        <v>0</v>
      </c>
      <c r="V12" s="91" t="s">
        <v>413</v>
      </c>
      <c r="W12" s="91">
        <v>100</v>
      </c>
      <c r="X12" s="91" t="s">
        <v>414</v>
      </c>
      <c r="Y12" s="91">
        <v>0</v>
      </c>
      <c r="Z12" s="91" t="s">
        <v>417</v>
      </c>
      <c r="AA12" s="91">
        <v>1</v>
      </c>
      <c r="AB12" s="91" t="s">
        <v>418</v>
      </c>
      <c r="AC12" s="91">
        <v>1</v>
      </c>
      <c r="AD12" s="91" t="s">
        <v>536</v>
      </c>
      <c r="AE12" s="91">
        <v>1</v>
      </c>
      <c r="AF12" s="91" t="s">
        <v>561</v>
      </c>
      <c r="AG12" s="91">
        <v>0</v>
      </c>
      <c r="AH12" s="91" t="s">
        <v>1000</v>
      </c>
      <c r="AI12" s="91">
        <v>9</v>
      </c>
    </row>
    <row r="13" spans="1:64">
      <c r="A13" s="90" t="s">
        <v>392</v>
      </c>
      <c r="B13" s="96" t="s">
        <v>29</v>
      </c>
      <c r="C13" s="88">
        <v>1</v>
      </c>
      <c r="D13" s="96" t="s">
        <v>30</v>
      </c>
      <c r="E13" s="88" t="s">
        <v>1371</v>
      </c>
      <c r="F13" s="88" t="s">
        <v>31</v>
      </c>
      <c r="G13" s="98" t="s">
        <v>538</v>
      </c>
      <c r="H13" s="98" t="s">
        <v>32</v>
      </c>
      <c r="I13" s="91" t="s">
        <v>538</v>
      </c>
    </row>
    <row r="14" spans="1:64">
      <c r="A14" s="90" t="s">
        <v>393</v>
      </c>
      <c r="B14" s="97" t="s">
        <v>33</v>
      </c>
      <c r="C14" s="97" t="s">
        <v>1259</v>
      </c>
      <c r="D14" s="97" t="s">
        <v>34</v>
      </c>
      <c r="E14" s="97" t="s">
        <v>1372</v>
      </c>
      <c r="F14" s="97" t="s">
        <v>35</v>
      </c>
      <c r="G14" s="97" t="s">
        <v>1373</v>
      </c>
      <c r="H14" s="97" t="s">
        <v>36</v>
      </c>
      <c r="I14" s="97" t="b">
        <v>0</v>
      </c>
      <c r="J14" s="97" t="s">
        <v>37</v>
      </c>
      <c r="K14" s="97" t="s">
        <v>1374</v>
      </c>
      <c r="L14" s="97" t="s">
        <v>38</v>
      </c>
      <c r="M14" s="97" t="s">
        <v>569</v>
      </c>
      <c r="N14" s="97" t="s">
        <v>39</v>
      </c>
      <c r="O14" s="97" t="s">
        <v>1260</v>
      </c>
      <c r="P14" s="97" t="s">
        <v>40</v>
      </c>
      <c r="Q14" s="97" t="b">
        <v>0</v>
      </c>
      <c r="R14" s="97" t="s">
        <v>41</v>
      </c>
      <c r="S14" s="97" t="s">
        <v>1261</v>
      </c>
      <c r="T14" s="97" t="s">
        <v>42</v>
      </c>
      <c r="U14" s="97" t="s">
        <v>1375</v>
      </c>
      <c r="V14" s="97" t="s">
        <v>43</v>
      </c>
      <c r="W14" s="97" t="s">
        <v>1260</v>
      </c>
      <c r="X14" s="97" t="s">
        <v>44</v>
      </c>
      <c r="Y14" s="97" t="b">
        <v>1</v>
      </c>
      <c r="Z14" s="97" t="s">
        <v>45</v>
      </c>
      <c r="AA14" s="97" t="s">
        <v>1376</v>
      </c>
      <c r="AB14" s="97" t="s">
        <v>46</v>
      </c>
      <c r="AC14" s="97" t="s">
        <v>1377</v>
      </c>
      <c r="AD14" s="97" t="s">
        <v>47</v>
      </c>
      <c r="AE14" s="97" t="s">
        <v>1378</v>
      </c>
      <c r="AF14" s="97" t="s">
        <v>48</v>
      </c>
      <c r="AG14" s="97" t="b">
        <v>1</v>
      </c>
      <c r="AH14" s="97" t="s">
        <v>49</v>
      </c>
      <c r="AI14" s="97" t="s">
        <v>1379</v>
      </c>
      <c r="AJ14" s="97" t="s">
        <v>50</v>
      </c>
      <c r="AK14" s="97" t="s">
        <v>1380</v>
      </c>
      <c r="AL14" s="97" t="s">
        <v>51</v>
      </c>
      <c r="AM14" s="97" t="s">
        <v>1381</v>
      </c>
      <c r="AN14" s="97" t="s">
        <v>52</v>
      </c>
      <c r="AO14" s="97" t="b">
        <v>0</v>
      </c>
      <c r="AP14" s="97" t="s">
        <v>53</v>
      </c>
      <c r="AQ14" s="97" t="s">
        <v>1382</v>
      </c>
      <c r="AR14" s="97" t="s">
        <v>54</v>
      </c>
      <c r="AS14" s="97" t="s">
        <v>570</v>
      </c>
      <c r="AT14" s="97" t="s">
        <v>55</v>
      </c>
      <c r="AU14" s="97" t="s">
        <v>1383</v>
      </c>
      <c r="AV14" s="97" t="s">
        <v>56</v>
      </c>
      <c r="AW14" s="97" t="b">
        <v>1</v>
      </c>
      <c r="AX14" s="91" t="s">
        <v>57</v>
      </c>
      <c r="AZ14" s="91" t="s">
        <v>58</v>
      </c>
      <c r="BB14" s="91" t="s">
        <v>59</v>
      </c>
      <c r="BD14" s="91" t="s">
        <v>60</v>
      </c>
      <c r="BF14" s="91" t="s">
        <v>61</v>
      </c>
      <c r="BH14" s="91" t="s">
        <v>62</v>
      </c>
      <c r="BJ14" s="91" t="s">
        <v>63</v>
      </c>
      <c r="BL14" s="91" t="s">
        <v>64</v>
      </c>
    </row>
    <row r="15" spans="1:64">
      <c r="A15" s="90" t="s">
        <v>409</v>
      </c>
      <c r="B15" s="91" t="s">
        <v>402</v>
      </c>
      <c r="C15" s="91">
        <v>1</v>
      </c>
      <c r="D15" s="91" t="s">
        <v>403</v>
      </c>
      <c r="E15" s="91">
        <v>82</v>
      </c>
      <c r="F15" s="91" t="s">
        <v>406</v>
      </c>
      <c r="G15" s="91" t="s">
        <v>1384</v>
      </c>
      <c r="H15" s="91" t="s">
        <v>407</v>
      </c>
      <c r="I15" s="91">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L34"/>
  <sheetViews>
    <sheetView showGridLines="0" topLeftCell="A10" zoomScale="90" zoomScaleNormal="90" workbookViewId="0">
      <selection activeCell="L19" sqref="L19"/>
    </sheetView>
  </sheetViews>
  <sheetFormatPr defaultColWidth="9" defaultRowHeight="19.2"/>
  <cols>
    <col min="1" max="1" width="5.8984375" style="102" customWidth="1"/>
    <col min="2" max="2" width="29.8984375" style="114" customWidth="1"/>
    <col min="3" max="3" width="1.19921875" style="102" customWidth="1"/>
    <col min="4" max="11" width="9" style="102"/>
    <col min="12" max="12" width="19.5" style="102" customWidth="1"/>
    <col min="13" max="16384" width="9" style="102"/>
  </cols>
  <sheetData>
    <row r="1" spans="1:12" ht="20.25" customHeight="1">
      <c r="A1" s="247" t="s">
        <v>1166</v>
      </c>
      <c r="B1" s="247"/>
      <c r="C1" s="247"/>
      <c r="D1" s="247"/>
      <c r="E1" s="247"/>
      <c r="F1" s="247"/>
      <c r="G1" s="247"/>
      <c r="H1" s="247"/>
      <c r="I1" s="135"/>
      <c r="J1" s="242" t="s">
        <v>1233</v>
      </c>
      <c r="K1" s="242"/>
      <c r="L1" s="242"/>
    </row>
    <row r="2" spans="1:12" s="103" customFormat="1" ht="33.75" customHeight="1">
      <c r="A2" s="248"/>
      <c r="B2" s="248"/>
      <c r="C2" s="248"/>
      <c r="D2" s="248"/>
      <c r="E2" s="248"/>
      <c r="F2" s="248"/>
      <c r="G2" s="248"/>
      <c r="H2" s="248"/>
      <c r="I2" s="243" t="s">
        <v>1167</v>
      </c>
      <c r="J2" s="243"/>
      <c r="K2" s="243"/>
      <c r="L2" s="243"/>
    </row>
    <row r="4" spans="1:12" ht="17.25" customHeight="1">
      <c r="B4" s="244" t="s">
        <v>550</v>
      </c>
      <c r="C4" s="244"/>
      <c r="D4" s="244"/>
      <c r="E4" s="244"/>
      <c r="F4" s="244"/>
      <c r="G4" s="244"/>
      <c r="H4" s="244"/>
      <c r="I4" s="244"/>
      <c r="J4" s="244"/>
      <c r="K4" s="244"/>
      <c r="L4" s="244"/>
    </row>
    <row r="5" spans="1:12" ht="27.75" customHeight="1">
      <c r="B5" s="244"/>
      <c r="C5" s="244"/>
      <c r="D5" s="244"/>
      <c r="E5" s="244"/>
      <c r="F5" s="244"/>
      <c r="G5" s="244"/>
      <c r="H5" s="244"/>
      <c r="I5" s="244"/>
      <c r="J5" s="244"/>
      <c r="K5" s="244"/>
      <c r="L5" s="244"/>
    </row>
    <row r="6" spans="1:12" s="103" customFormat="1" ht="15.6">
      <c r="B6" s="115"/>
    </row>
    <row r="7" spans="1:12" s="103" customFormat="1" ht="21">
      <c r="B7" s="153" t="s">
        <v>552</v>
      </c>
      <c r="D7" s="104"/>
    </row>
    <row r="8" spans="1:12" s="103" customFormat="1" ht="7.5" customHeight="1">
      <c r="B8" s="115"/>
    </row>
    <row r="9" spans="1:12" s="103" customFormat="1" ht="27.75" customHeight="1" thickBot="1">
      <c r="A9" s="105"/>
      <c r="B9" s="112" t="s">
        <v>545</v>
      </c>
      <c r="C9" s="105"/>
      <c r="D9" s="246" t="s">
        <v>553</v>
      </c>
      <c r="E9" s="246"/>
      <c r="F9" s="246"/>
      <c r="G9" s="246"/>
      <c r="H9" s="246"/>
      <c r="I9" s="246"/>
      <c r="J9" s="246"/>
      <c r="K9" s="246"/>
      <c r="L9" s="246"/>
    </row>
    <row r="10" spans="1:12" s="103" customFormat="1" ht="27.75" customHeight="1" thickTop="1" thickBot="1">
      <c r="A10" s="105"/>
      <c r="B10" s="111" t="s">
        <v>546</v>
      </c>
      <c r="C10" s="105"/>
      <c r="D10" s="246" t="s">
        <v>1348</v>
      </c>
      <c r="E10" s="246"/>
      <c r="F10" s="246"/>
      <c r="G10" s="246"/>
      <c r="H10" s="246"/>
      <c r="I10" s="246"/>
      <c r="J10" s="246"/>
      <c r="K10" s="246"/>
      <c r="L10" s="246"/>
    </row>
    <row r="11" spans="1:12" s="103" customFormat="1" ht="27.75" customHeight="1" thickTop="1" thickBot="1">
      <c r="A11" s="105"/>
      <c r="B11" s="146" t="s">
        <v>547</v>
      </c>
      <c r="C11" s="105"/>
      <c r="D11" s="246" t="s">
        <v>1349</v>
      </c>
      <c r="E11" s="246"/>
      <c r="F11" s="246"/>
      <c r="G11" s="246"/>
      <c r="H11" s="246"/>
      <c r="I11" s="246"/>
      <c r="J11" s="246"/>
      <c r="K11" s="246"/>
      <c r="L11" s="246"/>
    </row>
    <row r="12" spans="1:12" s="103" customFormat="1" ht="27.75" customHeight="1" thickTop="1" thickBot="1">
      <c r="A12" s="105"/>
      <c r="B12" s="147" t="s">
        <v>548</v>
      </c>
      <c r="C12" s="105"/>
      <c r="D12" s="246" t="s">
        <v>1350</v>
      </c>
      <c r="E12" s="246"/>
      <c r="F12" s="246"/>
      <c r="G12" s="246"/>
      <c r="H12" s="246"/>
      <c r="I12" s="246"/>
      <c r="J12" s="246"/>
      <c r="K12" s="246"/>
      <c r="L12" s="246"/>
    </row>
    <row r="13" spans="1:12" s="103" customFormat="1" ht="27.75" customHeight="1" thickTop="1" thickBot="1">
      <c r="A13" s="105"/>
      <c r="B13" s="108" t="s">
        <v>1137</v>
      </c>
      <c r="C13" s="105"/>
      <c r="D13" s="246" t="s">
        <v>1353</v>
      </c>
      <c r="E13" s="246"/>
      <c r="F13" s="246"/>
      <c r="G13" s="246"/>
      <c r="H13" s="246"/>
      <c r="I13" s="246"/>
      <c r="J13" s="246"/>
      <c r="K13" s="246"/>
      <c r="L13" s="246"/>
    </row>
    <row r="14" spans="1:12" s="103" customFormat="1" ht="27.75" customHeight="1" thickTop="1" thickBot="1">
      <c r="A14" s="105"/>
      <c r="B14" s="108" t="s">
        <v>1033</v>
      </c>
      <c r="C14" s="105"/>
      <c r="D14" s="245" t="s">
        <v>1351</v>
      </c>
      <c r="E14" s="245"/>
      <c r="F14" s="245"/>
      <c r="G14" s="245"/>
      <c r="H14" s="245"/>
      <c r="I14" s="245"/>
      <c r="J14" s="245"/>
      <c r="K14" s="245"/>
      <c r="L14" s="245"/>
    </row>
    <row r="15" spans="1:12" s="103" customFormat="1" ht="27.75" customHeight="1" thickTop="1" thickBot="1">
      <c r="A15" s="105"/>
      <c r="B15" s="109" t="s">
        <v>549</v>
      </c>
      <c r="C15" s="105"/>
      <c r="D15" s="246" t="s">
        <v>558</v>
      </c>
      <c r="E15" s="246"/>
      <c r="F15" s="246"/>
      <c r="G15" s="246"/>
      <c r="H15" s="246"/>
      <c r="I15" s="246"/>
      <c r="J15" s="246"/>
      <c r="K15" s="246"/>
      <c r="L15" s="246"/>
    </row>
    <row r="16" spans="1:12" ht="19.8" thickTop="1">
      <c r="A16" s="106"/>
      <c r="B16" s="117"/>
      <c r="C16" s="106"/>
      <c r="D16" s="107"/>
      <c r="E16" s="107"/>
      <c r="F16" s="107"/>
      <c r="G16" s="107"/>
      <c r="H16" s="107"/>
      <c r="I16" s="107"/>
      <c r="J16" s="107"/>
      <c r="K16" s="107"/>
      <c r="L16" s="107"/>
    </row>
    <row r="17" spans="2:12" s="103" customFormat="1" ht="21">
      <c r="B17" s="153" t="s">
        <v>551</v>
      </c>
      <c r="D17" s="104"/>
    </row>
    <row r="18" spans="2:12" s="103" customFormat="1" ht="5.25" customHeight="1">
      <c r="B18" s="116"/>
      <c r="D18" s="104"/>
    </row>
    <row r="19" spans="2:12" s="103" customFormat="1" ht="24.75" customHeight="1" thickBot="1">
      <c r="B19" s="145" t="s">
        <v>555</v>
      </c>
      <c r="D19" s="240" t="s">
        <v>556</v>
      </c>
      <c r="E19" s="240"/>
      <c r="F19" s="240"/>
      <c r="G19" s="240"/>
      <c r="H19" s="240"/>
      <c r="I19" s="240"/>
      <c r="J19" s="240"/>
      <c r="K19" s="240"/>
      <c r="L19" s="110" t="s">
        <v>1153</v>
      </c>
    </row>
    <row r="20" spans="2:12" s="103" customFormat="1" ht="41.25" customHeight="1" thickTop="1" thickBot="1">
      <c r="B20" s="145" t="s">
        <v>554</v>
      </c>
      <c r="D20" s="240" t="s">
        <v>557</v>
      </c>
      <c r="E20" s="240"/>
      <c r="F20" s="240"/>
      <c r="G20" s="240"/>
      <c r="H20" s="240"/>
      <c r="I20" s="240"/>
      <c r="J20" s="240"/>
      <c r="K20" s="240"/>
      <c r="L20" s="148" t="s">
        <v>1152</v>
      </c>
    </row>
    <row r="21" spans="2:12" s="103" customFormat="1" ht="37.5" customHeight="1" thickTop="1" thickBot="1">
      <c r="B21" s="145" t="s">
        <v>582</v>
      </c>
      <c r="D21" s="240" t="s">
        <v>1154</v>
      </c>
      <c r="E21" s="240"/>
      <c r="F21" s="240"/>
      <c r="G21" s="240"/>
      <c r="H21" s="240"/>
      <c r="I21" s="240"/>
      <c r="J21" s="240"/>
      <c r="K21" s="240"/>
      <c r="L21" s="148" t="s">
        <v>1152</v>
      </c>
    </row>
    <row r="22" spans="2:12" s="103" customFormat="1" ht="41.25" customHeight="1" thickTop="1" thickBot="1">
      <c r="B22" s="145" t="s">
        <v>583</v>
      </c>
      <c r="D22" s="240" t="s">
        <v>1164</v>
      </c>
      <c r="E22" s="240"/>
      <c r="F22" s="240"/>
      <c r="G22" s="240"/>
      <c r="H22" s="240"/>
      <c r="I22" s="240"/>
      <c r="J22" s="240"/>
      <c r="K22" s="240"/>
      <c r="L22" s="148" t="s">
        <v>1152</v>
      </c>
    </row>
    <row r="23" spans="2:12" s="103" customFormat="1" ht="36" customHeight="1" thickTop="1" thickBot="1">
      <c r="B23" s="145" t="s">
        <v>584</v>
      </c>
      <c r="D23" s="240" t="s">
        <v>1155</v>
      </c>
      <c r="E23" s="240"/>
      <c r="F23" s="240"/>
      <c r="G23" s="240"/>
      <c r="H23" s="240"/>
      <c r="I23" s="240"/>
      <c r="J23" s="240"/>
      <c r="K23" s="240"/>
      <c r="L23" s="148" t="s">
        <v>1152</v>
      </c>
    </row>
    <row r="24" spans="2:12" s="103" customFormat="1" ht="52.5" customHeight="1" thickTop="1" thickBot="1">
      <c r="B24" s="145" t="s">
        <v>586</v>
      </c>
      <c r="D24" s="240" t="s">
        <v>1156</v>
      </c>
      <c r="E24" s="240"/>
      <c r="F24" s="240"/>
      <c r="G24" s="240"/>
      <c r="H24" s="240"/>
      <c r="I24" s="240"/>
      <c r="J24" s="240"/>
      <c r="K24" s="240"/>
      <c r="L24" s="148" t="s">
        <v>1152</v>
      </c>
    </row>
    <row r="25" spans="2:12" s="103" customFormat="1" ht="57" customHeight="1" thickTop="1" thickBot="1">
      <c r="B25" s="145" t="s">
        <v>587</v>
      </c>
      <c r="D25" s="240" t="s">
        <v>1157</v>
      </c>
      <c r="E25" s="240"/>
      <c r="F25" s="240"/>
      <c r="G25" s="240"/>
      <c r="H25" s="240"/>
      <c r="I25" s="240"/>
      <c r="J25" s="240"/>
      <c r="K25" s="240"/>
      <c r="L25" s="148" t="s">
        <v>1152</v>
      </c>
    </row>
    <row r="26" spans="2:12" s="103" customFormat="1" ht="48.75" customHeight="1" thickTop="1" thickBot="1">
      <c r="B26" s="145" t="s">
        <v>588</v>
      </c>
      <c r="D26" s="240" t="s">
        <v>1158</v>
      </c>
      <c r="E26" s="240"/>
      <c r="F26" s="240"/>
      <c r="G26" s="240"/>
      <c r="H26" s="240"/>
      <c r="I26" s="240"/>
      <c r="J26" s="240"/>
      <c r="K26" s="240"/>
      <c r="L26" s="148" t="s">
        <v>1152</v>
      </c>
    </row>
    <row r="27" spans="2:12" s="103" customFormat="1" ht="43.5" customHeight="1" thickTop="1" thickBot="1">
      <c r="B27" s="145" t="s">
        <v>589</v>
      </c>
      <c r="D27" s="240" t="s">
        <v>1159</v>
      </c>
      <c r="E27" s="240"/>
      <c r="F27" s="240"/>
      <c r="G27" s="240"/>
      <c r="H27" s="240"/>
      <c r="I27" s="240"/>
      <c r="J27" s="240"/>
      <c r="K27" s="240"/>
      <c r="L27" s="148" t="s">
        <v>1152</v>
      </c>
    </row>
    <row r="28" spans="2:12" s="103" customFormat="1" ht="43.5" customHeight="1" thickTop="1" thickBot="1">
      <c r="B28" s="145" t="s">
        <v>590</v>
      </c>
      <c r="D28" s="240" t="s">
        <v>1160</v>
      </c>
      <c r="E28" s="240"/>
      <c r="F28" s="240"/>
      <c r="G28" s="240"/>
      <c r="H28" s="240"/>
      <c r="I28" s="240"/>
      <c r="J28" s="240"/>
      <c r="K28" s="240"/>
      <c r="L28" s="148" t="s">
        <v>1152</v>
      </c>
    </row>
    <row r="29" spans="2:12" s="103" customFormat="1" ht="50.25" customHeight="1" thickTop="1" thickBot="1">
      <c r="B29" s="145" t="s">
        <v>592</v>
      </c>
      <c r="D29" s="240" t="s">
        <v>1165</v>
      </c>
      <c r="E29" s="240"/>
      <c r="F29" s="240"/>
      <c r="G29" s="240"/>
      <c r="H29" s="240"/>
      <c r="I29" s="240"/>
      <c r="J29" s="240"/>
      <c r="K29" s="240"/>
      <c r="L29" s="148" t="s">
        <v>1152</v>
      </c>
    </row>
    <row r="30" spans="2:12" s="103" customFormat="1" ht="57.75" customHeight="1" thickTop="1" thickBot="1">
      <c r="B30" s="145" t="s">
        <v>591</v>
      </c>
      <c r="D30" s="240" t="s">
        <v>1161</v>
      </c>
      <c r="E30" s="240"/>
      <c r="F30" s="240"/>
      <c r="G30" s="240"/>
      <c r="H30" s="240"/>
      <c r="I30" s="240"/>
      <c r="J30" s="240"/>
      <c r="K30" s="240"/>
      <c r="L30" s="148" t="s">
        <v>1152</v>
      </c>
    </row>
    <row r="31" spans="2:12" s="103" customFormat="1" ht="67.5" customHeight="1" thickTop="1" thickBot="1">
      <c r="B31" s="145" t="s">
        <v>1163</v>
      </c>
      <c r="D31" s="240" t="s">
        <v>1347</v>
      </c>
      <c r="E31" s="240"/>
      <c r="F31" s="240"/>
      <c r="G31" s="240"/>
      <c r="H31" s="240"/>
      <c r="I31" s="240"/>
      <c r="J31" s="240"/>
      <c r="K31" s="240"/>
      <c r="L31" s="148" t="s">
        <v>1152</v>
      </c>
    </row>
    <row r="32" spans="2:12" s="103" customFormat="1" ht="18" thickTop="1">
      <c r="B32" s="118"/>
      <c r="D32" s="104"/>
      <c r="L32" s="105"/>
    </row>
    <row r="33" spans="2:12" s="103" customFormat="1" ht="18.75" customHeight="1">
      <c r="B33" s="149" t="s">
        <v>1352</v>
      </c>
      <c r="C33" s="150"/>
      <c r="D33" s="151"/>
      <c r="E33" s="150"/>
      <c r="F33" s="150"/>
      <c r="G33" s="150"/>
      <c r="H33" s="150"/>
      <c r="I33" s="150"/>
      <c r="J33" s="150"/>
      <c r="K33" s="150"/>
      <c r="L33" s="152"/>
    </row>
    <row r="34" spans="2:12" s="103" customFormat="1" ht="59.25" customHeight="1">
      <c r="B34" s="241" t="s">
        <v>1162</v>
      </c>
      <c r="C34" s="241"/>
      <c r="D34" s="241"/>
      <c r="E34" s="241"/>
      <c r="F34" s="241"/>
      <c r="G34" s="241"/>
      <c r="H34" s="241"/>
      <c r="I34" s="241"/>
      <c r="J34" s="241"/>
      <c r="K34" s="241"/>
      <c r="L34" s="241"/>
    </row>
  </sheetData>
  <mergeCells count="25">
    <mergeCell ref="D23:K23"/>
    <mergeCell ref="D26:K26"/>
    <mergeCell ref="D27:K27"/>
    <mergeCell ref="D28:K28"/>
    <mergeCell ref="D11:L11"/>
    <mergeCell ref="D12:L12"/>
    <mergeCell ref="D15:L15"/>
    <mergeCell ref="D13:L13"/>
    <mergeCell ref="D24:K24"/>
    <mergeCell ref="D29:K29"/>
    <mergeCell ref="D30:K30"/>
    <mergeCell ref="B34:L34"/>
    <mergeCell ref="D31:K31"/>
    <mergeCell ref="J1:L1"/>
    <mergeCell ref="I2:L2"/>
    <mergeCell ref="D20:K20"/>
    <mergeCell ref="D21:K21"/>
    <mergeCell ref="D22:K22"/>
    <mergeCell ref="B4:L5"/>
    <mergeCell ref="D19:K19"/>
    <mergeCell ref="D14:L14"/>
    <mergeCell ref="D9:L9"/>
    <mergeCell ref="D10:L10"/>
    <mergeCell ref="A1:H2"/>
    <mergeCell ref="D25:K25"/>
  </mergeCells>
  <phoneticPr fontId="2" type="noConversion"/>
  <hyperlinks>
    <hyperlink ref="B9" location="Schedule!A1" display="Schedule"/>
    <hyperlink ref="B10" location="Progress!A1" display="Progress"/>
    <hyperlink ref="J1" r:id="rId1" display="ⓒXLWorks"/>
    <hyperlink ref="B11" location="AnalysisReport!A1" display="AnalysisReport"/>
    <hyperlink ref="B13" location="Workload!A1" display="Workload"/>
    <hyperlink ref="B14" location="ServerData!A1" display="ServerData"/>
    <hyperlink ref="L19" r:id="rId2" display="도움말 링크"/>
    <hyperlink ref="L20" r:id="rId3"/>
    <hyperlink ref="L21" r:id="rId4"/>
    <hyperlink ref="L23" r:id="rId5"/>
    <hyperlink ref="L24" r:id="rId6"/>
    <hyperlink ref="L25" r:id="rId7"/>
    <hyperlink ref="I2" r:id="rId8" display="최신 버전 다운로드 https://xlworks.net"/>
    <hyperlink ref="L26" r:id="rId9"/>
    <hyperlink ref="L27" r:id="rId10"/>
    <hyperlink ref="L28" r:id="rId11"/>
    <hyperlink ref="L29" r:id="rId12"/>
    <hyperlink ref="L30" r:id="rId13"/>
    <hyperlink ref="L22" r:id="rId14"/>
    <hyperlink ref="L31" r:id="rId15"/>
    <hyperlink ref="B12" location="Calendar!A1" display="Calendar"/>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A44A"/>
    <outlinePr summaryBelow="0"/>
    <pageSetUpPr fitToPage="1"/>
  </sheetPr>
  <dimension ref="A1:CB69"/>
  <sheetViews>
    <sheetView tabSelected="1" zoomScale="85" zoomScaleNormal="85" zoomScalePageLayoutView="55" workbookViewId="0">
      <pane ySplit="4" topLeftCell="A35" activePane="bottomLeft" state="frozen"/>
      <selection activeCell="E5" sqref="E5"/>
      <selection pane="bottomLeft" activeCell="D5" sqref="D5"/>
    </sheetView>
  </sheetViews>
  <sheetFormatPr defaultColWidth="10" defaultRowHeight="12" outlineLevelRow="2"/>
  <cols>
    <col min="1" max="2" width="9" style="101" hidden="1" customWidth="1"/>
    <col min="3" max="3" width="0.19921875" style="101" hidden="1" customWidth="1"/>
    <col min="4" max="4" width="12.69921875" style="1" customWidth="1"/>
    <col min="5" max="13" width="2.69921875" style="2" customWidth="1"/>
    <col min="14" max="14" width="7.19921875" style="2" customWidth="1"/>
    <col min="15" max="15" width="5.19921875" style="2" bestFit="1" customWidth="1"/>
    <col min="16" max="17" width="8.5" style="3" bestFit="1" customWidth="1"/>
    <col min="18" max="18" width="7.59765625" style="4" customWidth="1"/>
    <col min="19" max="19" width="6" style="5" bestFit="1" customWidth="1"/>
    <col min="20" max="20" width="4.5" style="5" bestFit="1" customWidth="1"/>
    <col min="21" max="22" width="4.5" style="6" bestFit="1" customWidth="1"/>
    <col min="23" max="24" width="8.5" style="3" hidden="1" customWidth="1"/>
    <col min="25" max="25" width="7.5" style="7" hidden="1" customWidth="1"/>
    <col min="26" max="26" width="6" style="8" hidden="1" customWidth="1"/>
    <col min="27" max="27" width="6" style="9" bestFit="1" customWidth="1"/>
    <col min="28" max="28" width="15.296875" style="4" customWidth="1"/>
    <col min="29" max="29" width="6" style="10" bestFit="1" customWidth="1"/>
    <col min="30" max="30" width="6.69921875" style="11" bestFit="1" customWidth="1"/>
    <col min="31" max="31" width="7.19921875" style="12" customWidth="1"/>
    <col min="32" max="80" width="1.8984375" style="202" customWidth="1"/>
    <col min="81" max="16384" width="10" style="202"/>
  </cols>
  <sheetData>
    <row r="1" spans="1:80" s="230" customFormat="1" ht="19.95" customHeight="1">
      <c r="A1" s="203"/>
      <c r="B1" s="213"/>
      <c r="C1" s="204"/>
      <c r="D1" s="205" t="str">
        <f ca="1">xlgantt.ProjectName()</f>
        <v>봉찾사(봉사자를 찾는 사이트)</v>
      </c>
      <c r="E1" s="206"/>
      <c r="F1" s="206"/>
      <c r="G1" s="206"/>
      <c r="H1" s="206"/>
      <c r="I1" s="206"/>
      <c r="J1" s="206"/>
      <c r="K1" s="206"/>
      <c r="L1" s="206"/>
      <c r="M1" s="206"/>
      <c r="N1" s="206"/>
      <c r="O1" s="206"/>
      <c r="P1" s="206"/>
      <c r="Q1" s="207"/>
      <c r="R1" s="208"/>
      <c r="S1" s="209"/>
      <c r="T1" s="210"/>
      <c r="U1" s="211"/>
      <c r="V1" s="211"/>
      <c r="W1" s="212"/>
      <c r="X1" s="212"/>
      <c r="Y1" s="213"/>
      <c r="Z1" s="214"/>
      <c r="AA1" s="215"/>
      <c r="AB1" s="216"/>
      <c r="AC1" s="217"/>
      <c r="AD1" s="218"/>
      <c r="AE1" s="219" t="str">
        <f ca="1">xlgantt.ProjectProgressString()</f>
        <v>2019-12-03~2020-01-15 [계획:98.00% 실적:98.00%]</v>
      </c>
      <c r="AF1" s="231" t="s">
        <v>1213</v>
      </c>
    </row>
    <row r="2" spans="1:80" s="230" customFormat="1" ht="15" customHeight="1">
      <c r="A2" s="220"/>
      <c r="B2" s="220"/>
      <c r="C2" s="221"/>
      <c r="D2" s="250"/>
      <c r="E2" s="250"/>
      <c r="F2" s="250"/>
      <c r="G2" s="222"/>
      <c r="H2" s="223"/>
      <c r="I2" s="222"/>
      <c r="J2" s="222"/>
      <c r="K2" s="222"/>
      <c r="L2" s="222"/>
      <c r="M2" s="222"/>
      <c r="N2" s="222"/>
      <c r="O2" s="222"/>
      <c r="P2" s="222"/>
      <c r="Q2" s="222"/>
      <c r="R2" s="222"/>
      <c r="S2" s="222"/>
      <c r="T2" s="222"/>
      <c r="U2" s="222"/>
      <c r="V2" s="222"/>
      <c r="W2" s="222"/>
      <c r="X2" s="222"/>
      <c r="Y2" s="222"/>
      <c r="Z2" s="222"/>
      <c r="AA2" s="222"/>
      <c r="AB2" s="222"/>
      <c r="AC2" s="224"/>
      <c r="AD2" s="225"/>
      <c r="AE2" s="222" t="str">
        <f ca="1">xlgantt.CommentOnHeadArea()</f>
        <v>별(*)표시는 필수입력, 주황색열은 자동계산</v>
      </c>
      <c r="AF2" s="232" t="s">
        <v>1346</v>
      </c>
    </row>
    <row r="3" spans="1:80" s="227" customFormat="1" ht="19.05" customHeight="1">
      <c r="A3" s="256" t="s">
        <v>1385</v>
      </c>
      <c r="B3" s="258" t="s">
        <v>1499</v>
      </c>
      <c r="C3" s="260" t="s">
        <v>1500</v>
      </c>
      <c r="D3" s="261" t="s">
        <v>1496</v>
      </c>
      <c r="E3" s="262" t="s">
        <v>1357</v>
      </c>
      <c r="F3" s="263"/>
      <c r="G3" s="263"/>
      <c r="H3" s="263"/>
      <c r="I3" s="263"/>
      <c r="J3" s="263"/>
      <c r="K3" s="263"/>
      <c r="L3" s="263"/>
      <c r="M3" s="263"/>
      <c r="N3" s="263"/>
      <c r="O3" s="251" t="s">
        <v>1358</v>
      </c>
      <c r="P3" s="252" t="s">
        <v>1359</v>
      </c>
      <c r="Q3" s="252" t="s">
        <v>1501</v>
      </c>
      <c r="R3" s="254" t="s">
        <v>1502</v>
      </c>
      <c r="S3" s="253" t="s">
        <v>1503</v>
      </c>
      <c r="T3" s="264" t="s">
        <v>1360</v>
      </c>
      <c r="U3" s="266" t="s">
        <v>1504</v>
      </c>
      <c r="V3" s="266" t="s">
        <v>1361</v>
      </c>
      <c r="W3" s="265" t="s">
        <v>1497</v>
      </c>
      <c r="X3" s="265" t="s">
        <v>1362</v>
      </c>
      <c r="Y3" s="269" t="s">
        <v>1498</v>
      </c>
      <c r="Z3" s="268" t="s">
        <v>1386</v>
      </c>
      <c r="AA3" s="249" t="s">
        <v>1363</v>
      </c>
      <c r="AB3" s="252" t="s">
        <v>1364</v>
      </c>
      <c r="AC3" s="258" t="s">
        <v>1505</v>
      </c>
      <c r="AD3" s="267" t="s">
        <v>1365</v>
      </c>
      <c r="AE3" s="255" t="s">
        <v>1366</v>
      </c>
      <c r="AF3" s="270" t="s">
        <v>1356</v>
      </c>
      <c r="AG3" s="271"/>
      <c r="AH3" s="271"/>
      <c r="AI3" s="271"/>
      <c r="AJ3" s="272" t="s">
        <v>1445</v>
      </c>
      <c r="AK3" s="271"/>
      <c r="AL3" s="271"/>
      <c r="AM3" s="273"/>
    </row>
    <row r="4" spans="1:80" s="226" customFormat="1" ht="6" customHeight="1">
      <c r="A4" s="257"/>
      <c r="B4" s="259"/>
      <c r="C4" s="256"/>
      <c r="D4" s="261"/>
      <c r="E4" s="262"/>
      <c r="F4" s="263"/>
      <c r="G4" s="263"/>
      <c r="H4" s="263"/>
      <c r="I4" s="263"/>
      <c r="J4" s="263"/>
      <c r="K4" s="263"/>
      <c r="L4" s="263"/>
      <c r="M4" s="263"/>
      <c r="N4" s="263"/>
      <c r="O4" s="252"/>
      <c r="P4" s="252"/>
      <c r="Q4" s="252"/>
      <c r="R4" s="254"/>
      <c r="S4" s="253"/>
      <c r="T4" s="264"/>
      <c r="U4" s="266"/>
      <c r="V4" s="266"/>
      <c r="W4" s="252"/>
      <c r="X4" s="252"/>
      <c r="Y4" s="269"/>
      <c r="Z4" s="268"/>
      <c r="AA4" s="249"/>
      <c r="AB4" s="252"/>
      <c r="AC4" s="258"/>
      <c r="AD4" s="267"/>
      <c r="AE4" s="255"/>
      <c r="AF4" s="228">
        <v>43800</v>
      </c>
      <c r="AG4" s="229">
        <v>43807</v>
      </c>
      <c r="AH4" s="229">
        <v>43814</v>
      </c>
      <c r="AI4" s="229">
        <v>43821</v>
      </c>
      <c r="AJ4" s="229">
        <v>43828</v>
      </c>
      <c r="AK4" s="229">
        <v>43835</v>
      </c>
      <c r="AL4" s="229">
        <v>43842</v>
      </c>
      <c r="AM4" s="175"/>
      <c r="AN4" s="233"/>
      <c r="AO4" s="233"/>
      <c r="AP4" s="233"/>
      <c r="AQ4" s="233"/>
      <c r="AR4" s="233"/>
      <c r="AS4" s="233"/>
      <c r="AT4" s="233"/>
      <c r="AU4" s="233"/>
      <c r="AV4" s="233"/>
      <c r="AW4" s="233"/>
      <c r="AX4" s="233"/>
      <c r="AY4" s="233"/>
      <c r="AZ4" s="233"/>
      <c r="BA4" s="233"/>
      <c r="BB4" s="233"/>
      <c r="BC4" s="233"/>
      <c r="BD4" s="233"/>
      <c r="BE4" s="233"/>
      <c r="BF4" s="233"/>
      <c r="BG4" s="233"/>
      <c r="BH4" s="233"/>
      <c r="BI4" s="233"/>
      <c r="BJ4" s="233"/>
      <c r="BK4" s="233"/>
      <c r="BL4" s="233"/>
      <c r="BM4" s="233"/>
      <c r="BN4" s="233"/>
      <c r="BO4" s="233"/>
      <c r="BP4" s="233"/>
      <c r="BQ4" s="233"/>
      <c r="BR4" s="233"/>
      <c r="BS4" s="233"/>
      <c r="BT4" s="233"/>
      <c r="BU4" s="233"/>
      <c r="BV4" s="233"/>
      <c r="BW4" s="233"/>
      <c r="BX4" s="233"/>
      <c r="BY4" s="233"/>
      <c r="BZ4" s="233"/>
      <c r="CA4" s="233"/>
      <c r="CB4" s="233"/>
    </row>
    <row r="5" spans="1:80">
      <c r="A5" s="189"/>
      <c r="B5" s="189" t="s">
        <v>1262</v>
      </c>
      <c r="C5" s="189">
        <v>1</v>
      </c>
      <c r="D5" s="201" t="s">
        <v>1048</v>
      </c>
      <c r="E5" s="237" t="s">
        <v>1388</v>
      </c>
      <c r="F5" s="190"/>
      <c r="G5" s="190"/>
      <c r="H5" s="190"/>
      <c r="I5" s="190"/>
      <c r="J5" s="190"/>
      <c r="K5" s="190"/>
      <c r="L5" s="190"/>
      <c r="M5" s="190"/>
      <c r="N5" s="190"/>
      <c r="O5" s="190"/>
      <c r="P5" s="191">
        <v>43802</v>
      </c>
      <c r="Q5" s="191">
        <v>43805</v>
      </c>
      <c r="R5" s="193"/>
      <c r="S5" s="194">
        <v>6</v>
      </c>
      <c r="T5" s="194">
        <v>6</v>
      </c>
      <c r="U5" s="192">
        <v>4</v>
      </c>
      <c r="V5" s="192">
        <v>4</v>
      </c>
      <c r="W5" s="191"/>
      <c r="X5" s="191"/>
      <c r="Y5" s="195">
        <v>0</v>
      </c>
      <c r="Z5" s="196">
        <v>0</v>
      </c>
      <c r="AA5" s="197"/>
      <c r="AB5" s="193"/>
      <c r="AC5" s="198"/>
      <c r="AD5" s="199">
        <v>1</v>
      </c>
      <c r="AE5" s="200">
        <v>1</v>
      </c>
      <c r="AF5" s="235" t="str">
        <f>"      " &amp; TEXT(AE5,"#0.00%") &amp; " " &amp; "1주차 프로젝트 회의" &amp; " " &amp; IF(P5="","",TEXT(P5,"M/D-")) &amp; IF(Q5="","",TEXT(Q5,"M/D")) &amp; " "</f>
        <v xml:space="preserve">      100.00% 1주차 프로젝트 회의 12/3-12/6 </v>
      </c>
      <c r="AG5" s="236"/>
      <c r="AH5" s="236"/>
      <c r="AI5" s="236"/>
      <c r="AJ5" s="236"/>
      <c r="AK5" s="236"/>
      <c r="AL5" s="236"/>
      <c r="AM5" s="236"/>
    </row>
    <row r="6" spans="1:80" outlineLevel="1">
      <c r="A6" s="189"/>
      <c r="B6" s="189" t="s">
        <v>1262</v>
      </c>
      <c r="C6" s="189">
        <v>2</v>
      </c>
      <c r="D6" s="201" t="s">
        <v>1143</v>
      </c>
      <c r="E6" s="190"/>
      <c r="F6" s="237" t="s">
        <v>1389</v>
      </c>
      <c r="G6" s="190"/>
      <c r="H6" s="190"/>
      <c r="I6" s="190"/>
      <c r="J6" s="190"/>
      <c r="K6" s="190"/>
      <c r="L6" s="190"/>
      <c r="M6" s="190"/>
      <c r="N6" s="190"/>
      <c r="O6" s="190"/>
      <c r="P6" s="191">
        <v>43802</v>
      </c>
      <c r="Q6" s="191">
        <v>43805</v>
      </c>
      <c r="R6" s="193"/>
      <c r="S6" s="194">
        <v>6</v>
      </c>
      <c r="T6" s="194">
        <v>6</v>
      </c>
      <c r="U6" s="192">
        <v>4</v>
      </c>
      <c r="V6" s="192">
        <v>4</v>
      </c>
      <c r="W6" s="191"/>
      <c r="X6" s="191"/>
      <c r="Y6" s="195">
        <v>0</v>
      </c>
      <c r="Z6" s="196">
        <v>0</v>
      </c>
      <c r="AA6" s="197"/>
      <c r="AB6" s="193"/>
      <c r="AC6" s="198"/>
      <c r="AD6" s="199">
        <v>1</v>
      </c>
      <c r="AE6" s="200">
        <v>1</v>
      </c>
      <c r="AF6" s="235" t="str">
        <f>"      " &amp; TEXT(AE6,"#0.00%") &amp; " " &amp; "기획" &amp; " " &amp; IF(P6="","",TEXT(P6,"M/D-")) &amp; IF(Q6="","",TEXT(Q6,"M/D")) &amp; " "</f>
        <v xml:space="preserve">      100.00% 기획 12/3-12/6 </v>
      </c>
      <c r="AG6" s="236"/>
      <c r="AH6" s="236"/>
      <c r="AI6" s="236"/>
      <c r="AJ6" s="236"/>
      <c r="AK6" s="236"/>
      <c r="AL6" s="236"/>
      <c r="AM6" s="236"/>
    </row>
    <row r="7" spans="1:80" outlineLevel="2">
      <c r="A7" s="189"/>
      <c r="B7" s="189"/>
      <c r="C7" s="189">
        <v>3</v>
      </c>
      <c r="D7" s="201" t="s">
        <v>1144</v>
      </c>
      <c r="E7" s="190"/>
      <c r="F7" s="190"/>
      <c r="G7" s="237" t="s">
        <v>1390</v>
      </c>
      <c r="H7" s="190"/>
      <c r="I7" s="190"/>
      <c r="J7" s="190"/>
      <c r="K7" s="190"/>
      <c r="L7" s="190"/>
      <c r="M7" s="190"/>
      <c r="N7" s="190"/>
      <c r="O7" s="190"/>
      <c r="P7" s="191">
        <v>43802</v>
      </c>
      <c r="Q7" s="191">
        <v>43803</v>
      </c>
      <c r="R7" s="193"/>
      <c r="S7" s="194">
        <v>2</v>
      </c>
      <c r="T7" s="194">
        <v>2</v>
      </c>
      <c r="U7" s="192">
        <v>2</v>
      </c>
      <c r="V7" s="192">
        <v>2</v>
      </c>
      <c r="W7" s="191"/>
      <c r="X7" s="191"/>
      <c r="Y7" s="195"/>
      <c r="Z7" s="196">
        <v>0</v>
      </c>
      <c r="AA7" s="197">
        <v>1</v>
      </c>
      <c r="AB7" s="193" t="s">
        <v>1394</v>
      </c>
      <c r="AC7" s="198"/>
      <c r="AD7" s="199">
        <v>1</v>
      </c>
      <c r="AE7" s="200">
        <v>1</v>
      </c>
      <c r="AF7" s="235" t="str">
        <f>"    " &amp; TEXT(AE7,"#0.00%") &amp; " " &amp; "아이디어 회의" &amp; "(안동규,하동민,권병준)" &amp; " " &amp; IF(P7="","",TEXT(P7,"M/D-")) &amp; IF(Q7="","",TEXT(Q7,"M/D")) &amp; " "</f>
        <v xml:space="preserve">    100.00% 아이디어 회의(안동규,하동민,권병준) 12/3-12/4 </v>
      </c>
      <c r="AG7" s="236"/>
      <c r="AH7" s="236"/>
      <c r="AI7" s="236"/>
      <c r="AJ7" s="236"/>
      <c r="AK7" s="236"/>
      <c r="AL7" s="236"/>
      <c r="AM7" s="236"/>
    </row>
    <row r="8" spans="1:80" outlineLevel="2">
      <c r="A8" s="189"/>
      <c r="B8" s="189"/>
      <c r="C8" s="189">
        <v>3</v>
      </c>
      <c r="D8" s="201" t="s">
        <v>1145</v>
      </c>
      <c r="E8" s="190"/>
      <c r="F8" s="190"/>
      <c r="G8" s="237" t="s">
        <v>1391</v>
      </c>
      <c r="H8" s="190"/>
      <c r="I8" s="190"/>
      <c r="J8" s="190"/>
      <c r="K8" s="190"/>
      <c r="L8" s="190"/>
      <c r="M8" s="190"/>
      <c r="N8" s="190"/>
      <c r="O8" s="190"/>
      <c r="P8" s="191">
        <v>43803</v>
      </c>
      <c r="Q8" s="191">
        <v>43804</v>
      </c>
      <c r="R8" s="193"/>
      <c r="S8" s="194">
        <v>2</v>
      </c>
      <c r="T8" s="194">
        <v>2</v>
      </c>
      <c r="U8" s="192">
        <v>2</v>
      </c>
      <c r="V8" s="192">
        <v>2</v>
      </c>
      <c r="W8" s="191"/>
      <c r="X8" s="191"/>
      <c r="Y8" s="195"/>
      <c r="Z8" s="196">
        <v>0</v>
      </c>
      <c r="AA8" s="197">
        <v>1</v>
      </c>
      <c r="AB8" s="193" t="s">
        <v>1394</v>
      </c>
      <c r="AC8" s="198"/>
      <c r="AD8" s="199">
        <v>1</v>
      </c>
      <c r="AE8" s="200">
        <v>1</v>
      </c>
      <c r="AF8" s="235" t="str">
        <f>"     " &amp; TEXT(AE8,"#0.00%") &amp; " " &amp; "벤치마킹" &amp; "(안동규,하동민,권병준)" &amp; " " &amp; IF(P8="","",TEXT(P8,"M/D-")) &amp; IF(Q8="","",TEXT(Q8,"M/D")) &amp; " "</f>
        <v xml:space="preserve">     100.00% 벤치마킹(안동규,하동민,권병준) 12/4-12/5 </v>
      </c>
      <c r="AG8" s="236"/>
      <c r="AH8" s="236"/>
      <c r="AI8" s="236"/>
      <c r="AJ8" s="236"/>
      <c r="AK8" s="236"/>
      <c r="AL8" s="236"/>
      <c r="AM8" s="236"/>
    </row>
    <row r="9" spans="1:80" outlineLevel="2">
      <c r="A9" s="189"/>
      <c r="B9" s="189"/>
      <c r="C9" s="189">
        <v>3</v>
      </c>
      <c r="D9" s="201" t="s">
        <v>1193</v>
      </c>
      <c r="E9" s="190"/>
      <c r="F9" s="190"/>
      <c r="G9" s="190" t="s">
        <v>1395</v>
      </c>
      <c r="H9" s="190"/>
      <c r="I9" s="190"/>
      <c r="J9" s="190"/>
      <c r="K9" s="190"/>
      <c r="L9" s="190"/>
      <c r="M9" s="190"/>
      <c r="N9" s="190"/>
      <c r="O9" s="190"/>
      <c r="P9" s="191">
        <v>43804</v>
      </c>
      <c r="Q9" s="191">
        <v>43805</v>
      </c>
      <c r="R9" s="193"/>
      <c r="S9" s="194">
        <v>2</v>
      </c>
      <c r="T9" s="194">
        <v>2</v>
      </c>
      <c r="U9" s="192">
        <v>2</v>
      </c>
      <c r="V9" s="192">
        <v>2</v>
      </c>
      <c r="W9" s="191"/>
      <c r="X9" s="191"/>
      <c r="Y9" s="195"/>
      <c r="Z9" s="196">
        <v>0</v>
      </c>
      <c r="AA9" s="197">
        <v>1</v>
      </c>
      <c r="AB9" s="238" t="s">
        <v>1392</v>
      </c>
      <c r="AC9" s="198"/>
      <c r="AD9" s="199">
        <v>1</v>
      </c>
      <c r="AE9" s="200">
        <v>1</v>
      </c>
      <c r="AF9" s="235" t="str">
        <f>"      " &amp; TEXT(AE9,"#0.00%") &amp; " " &amp; "개발환경 구축" &amp; "(안동규)" &amp; " " &amp; IF(P9="","",TEXT(P9,"M/D-")) &amp; IF(Q9="","",TEXT(Q9,"M/D")) &amp; " "</f>
        <v xml:space="preserve">      100.00% 개발환경 구축(안동규) 12/5-12/6 </v>
      </c>
      <c r="AG9" s="236"/>
      <c r="AH9" s="236"/>
      <c r="AI9" s="236"/>
      <c r="AJ9" s="236"/>
      <c r="AK9" s="236"/>
      <c r="AL9" s="236"/>
      <c r="AM9" s="236"/>
    </row>
    <row r="10" spans="1:80">
      <c r="A10" s="189"/>
      <c r="B10" s="189" t="s">
        <v>1262</v>
      </c>
      <c r="C10" s="189">
        <v>1</v>
      </c>
      <c r="D10" s="201" t="s">
        <v>1133</v>
      </c>
      <c r="E10" s="190" t="s">
        <v>1396</v>
      </c>
      <c r="F10" s="190"/>
      <c r="G10" s="190"/>
      <c r="H10" s="190"/>
      <c r="I10" s="190"/>
      <c r="J10" s="190"/>
      <c r="K10" s="190"/>
      <c r="L10" s="190"/>
      <c r="M10" s="190"/>
      <c r="N10" s="190"/>
      <c r="O10" s="190"/>
      <c r="P10" s="191">
        <v>43808</v>
      </c>
      <c r="Q10" s="191">
        <v>43812</v>
      </c>
      <c r="R10" s="193"/>
      <c r="S10" s="194">
        <v>15</v>
      </c>
      <c r="T10" s="194">
        <v>15</v>
      </c>
      <c r="U10" s="192">
        <v>5</v>
      </c>
      <c r="V10" s="192">
        <v>5</v>
      </c>
      <c r="W10" s="191"/>
      <c r="X10" s="191"/>
      <c r="Y10" s="195">
        <v>0</v>
      </c>
      <c r="Z10" s="196">
        <v>0</v>
      </c>
      <c r="AA10" s="197"/>
      <c r="AB10" s="193"/>
      <c r="AC10" s="198"/>
      <c r="AD10" s="199">
        <v>1</v>
      </c>
      <c r="AE10" s="200">
        <v>1</v>
      </c>
      <c r="AF10" s="235"/>
      <c r="AG10" s="236" t="str">
        <f>"      " &amp; TEXT(AE10,"#0.00%") &amp; " " &amp; "2주차 프로젝트 회의" &amp; " " &amp; IF(P10="","",TEXT(P10,"M/D-")) &amp; IF(Q10="","",TEXT(Q10,"M/D")) &amp; " "</f>
        <v xml:space="preserve">      100.00% 2주차 프로젝트 회의 12/9-12/13 </v>
      </c>
      <c r="AH10" s="236"/>
      <c r="AI10" s="236"/>
      <c r="AJ10" s="236"/>
      <c r="AK10" s="236"/>
      <c r="AL10" s="236"/>
      <c r="AM10" s="236"/>
    </row>
    <row r="11" spans="1:80" outlineLevel="1">
      <c r="A11" s="189"/>
      <c r="B11" s="189" t="s">
        <v>1262</v>
      </c>
      <c r="C11" s="189">
        <v>2</v>
      </c>
      <c r="D11" s="201" t="s">
        <v>1333</v>
      </c>
      <c r="E11" s="190"/>
      <c r="F11" s="237" t="s">
        <v>677</v>
      </c>
      <c r="G11" s="190"/>
      <c r="H11" s="190"/>
      <c r="I11" s="190"/>
      <c r="J11" s="190"/>
      <c r="K11" s="190"/>
      <c r="L11" s="190"/>
      <c r="M11" s="190"/>
      <c r="N11" s="190"/>
      <c r="O11" s="190"/>
      <c r="P11" s="191">
        <v>43808</v>
      </c>
      <c r="Q11" s="191">
        <v>43809</v>
      </c>
      <c r="R11" s="193"/>
      <c r="S11" s="194">
        <v>4</v>
      </c>
      <c r="T11" s="194">
        <v>4</v>
      </c>
      <c r="U11" s="192">
        <v>2</v>
      </c>
      <c r="V11" s="192">
        <v>2</v>
      </c>
      <c r="W11" s="191"/>
      <c r="X11" s="191"/>
      <c r="Y11" s="195">
        <v>0</v>
      </c>
      <c r="Z11" s="196">
        <v>0</v>
      </c>
      <c r="AA11" s="197"/>
      <c r="AB11" s="193"/>
      <c r="AC11" s="198"/>
      <c r="AD11" s="199">
        <v>1</v>
      </c>
      <c r="AE11" s="200">
        <v>1</v>
      </c>
      <c r="AF11" s="235"/>
      <c r="AG11" s="236" t="str">
        <f>"   " &amp; TEXT(AE11,"#0.00%") &amp; " " &amp; "분석" &amp; " " &amp; IF(P11="","",TEXT(P11,"M/D-")) &amp; IF(Q11="","",TEXT(Q11,"M/D")) &amp; " "</f>
        <v xml:space="preserve">   100.00% 분석 12/9-12/10 </v>
      </c>
      <c r="AH11" s="236"/>
      <c r="AI11" s="236"/>
      <c r="AJ11" s="236"/>
      <c r="AK11" s="236"/>
      <c r="AL11" s="236"/>
      <c r="AM11" s="236"/>
    </row>
    <row r="12" spans="1:80" outlineLevel="2">
      <c r="A12" s="189"/>
      <c r="B12" s="189"/>
      <c r="C12" s="189">
        <v>3</v>
      </c>
      <c r="D12" s="201" t="s">
        <v>1281</v>
      </c>
      <c r="E12" s="190"/>
      <c r="F12" s="190"/>
      <c r="G12" s="190" t="s">
        <v>1397</v>
      </c>
      <c r="H12" s="190"/>
      <c r="I12" s="190"/>
      <c r="J12" s="190"/>
      <c r="K12" s="190"/>
      <c r="L12" s="190"/>
      <c r="M12" s="190"/>
      <c r="N12" s="190"/>
      <c r="O12" s="190"/>
      <c r="P12" s="191">
        <v>43808</v>
      </c>
      <c r="Q12" s="191">
        <v>43809</v>
      </c>
      <c r="R12" s="193"/>
      <c r="S12" s="194">
        <v>2</v>
      </c>
      <c r="T12" s="194">
        <v>2</v>
      </c>
      <c r="U12" s="192">
        <v>2</v>
      </c>
      <c r="V12" s="192">
        <v>2</v>
      </c>
      <c r="W12" s="191"/>
      <c r="X12" s="191"/>
      <c r="Y12" s="195"/>
      <c r="Z12" s="196">
        <v>0</v>
      </c>
      <c r="AA12" s="197">
        <v>1</v>
      </c>
      <c r="AB12" s="193" t="s">
        <v>1394</v>
      </c>
      <c r="AC12" s="198"/>
      <c r="AD12" s="199">
        <v>1</v>
      </c>
      <c r="AE12" s="200">
        <v>1</v>
      </c>
      <c r="AF12" s="235"/>
      <c r="AG12" s="236" t="str">
        <f>"   " &amp; TEXT(AE12,"#0.00%") &amp; " " &amp; "요구사항 정의" &amp; "(안동규,하동민,권병준)" &amp; " " &amp; IF(P12="","",TEXT(P12,"M/D-")) &amp; IF(Q12="","",TEXT(Q12,"M/D")) &amp; " "</f>
        <v xml:space="preserve">   100.00% 요구사항 정의(안동규,하동민,권병준) 12/9-12/10 </v>
      </c>
      <c r="AH12" s="236"/>
      <c r="AI12" s="236"/>
      <c r="AJ12" s="236"/>
      <c r="AK12" s="236"/>
      <c r="AL12" s="236"/>
      <c r="AM12" s="236"/>
    </row>
    <row r="13" spans="1:80" outlineLevel="2">
      <c r="A13" s="189"/>
      <c r="B13" s="189"/>
      <c r="C13" s="189">
        <v>3</v>
      </c>
      <c r="D13" s="201" t="s">
        <v>1283</v>
      </c>
      <c r="E13" s="190"/>
      <c r="F13" s="190"/>
      <c r="G13" s="237" t="s">
        <v>1355</v>
      </c>
      <c r="H13" s="190"/>
      <c r="I13" s="190"/>
      <c r="J13" s="190"/>
      <c r="K13" s="190"/>
      <c r="L13" s="190"/>
      <c r="M13" s="190"/>
      <c r="N13" s="190"/>
      <c r="O13" s="190"/>
      <c r="P13" s="191">
        <v>43808</v>
      </c>
      <c r="Q13" s="191">
        <v>43809</v>
      </c>
      <c r="R13" s="193"/>
      <c r="S13" s="194">
        <v>2</v>
      </c>
      <c r="T13" s="194">
        <v>2</v>
      </c>
      <c r="U13" s="192">
        <v>2</v>
      </c>
      <c r="V13" s="192">
        <v>2</v>
      </c>
      <c r="W13" s="191"/>
      <c r="X13" s="191"/>
      <c r="Y13" s="195"/>
      <c r="Z13" s="196">
        <v>0</v>
      </c>
      <c r="AA13" s="197">
        <v>1</v>
      </c>
      <c r="AB13" s="193" t="s">
        <v>1398</v>
      </c>
      <c r="AC13" s="198"/>
      <c r="AD13" s="199">
        <v>1</v>
      </c>
      <c r="AE13" s="200">
        <v>1</v>
      </c>
      <c r="AF13" s="235"/>
      <c r="AG13" s="236" t="str">
        <f>"   " &amp; TEXT(AE13,"#0.00%") &amp; " " &amp; "업무분석" &amp; "(하동민,권병준)" &amp; " " &amp; IF(P13="","",TEXT(P13,"M/D-")) &amp; IF(Q13="","",TEXT(Q13,"M/D")) &amp; " "</f>
        <v xml:space="preserve">   100.00% 업무분석(하동민,권병준) 12/9-12/10 </v>
      </c>
      <c r="AH13" s="236"/>
      <c r="AI13" s="236"/>
      <c r="AJ13" s="236"/>
      <c r="AK13" s="236"/>
      <c r="AL13" s="236"/>
      <c r="AM13" s="236"/>
    </row>
    <row r="14" spans="1:80" outlineLevel="1">
      <c r="A14" s="189"/>
      <c r="B14" s="189" t="s">
        <v>1262</v>
      </c>
      <c r="C14" s="189">
        <v>2</v>
      </c>
      <c r="D14" s="201" t="s">
        <v>1334</v>
      </c>
      <c r="E14" s="190"/>
      <c r="F14" s="237" t="s">
        <v>1001</v>
      </c>
      <c r="G14" s="190"/>
      <c r="H14" s="190"/>
      <c r="I14" s="190"/>
      <c r="J14" s="190"/>
      <c r="K14" s="190"/>
      <c r="L14" s="190"/>
      <c r="M14" s="190"/>
      <c r="N14" s="190"/>
      <c r="O14" s="190"/>
      <c r="P14" s="191">
        <v>43809</v>
      </c>
      <c r="Q14" s="191">
        <v>43810</v>
      </c>
      <c r="R14" s="193"/>
      <c r="S14" s="194">
        <v>2</v>
      </c>
      <c r="T14" s="194">
        <v>2</v>
      </c>
      <c r="U14" s="192">
        <v>2</v>
      </c>
      <c r="V14" s="192">
        <v>2</v>
      </c>
      <c r="W14" s="191"/>
      <c r="X14" s="191"/>
      <c r="Y14" s="195">
        <v>0</v>
      </c>
      <c r="Z14" s="196">
        <v>0</v>
      </c>
      <c r="AA14" s="197"/>
      <c r="AB14" s="193"/>
      <c r="AC14" s="198"/>
      <c r="AD14" s="199">
        <v>1</v>
      </c>
      <c r="AE14" s="200">
        <v>1</v>
      </c>
      <c r="AF14" s="235"/>
      <c r="AG14" s="236" t="str">
        <f>"    " &amp; TEXT(AE14,"#0.00%") &amp; " " &amp; "설계" &amp; " " &amp; IF(P14="","",TEXT(P14,"M/D-")) &amp; IF(Q14="","",TEXT(Q14,"M/D")) &amp; " "</f>
        <v xml:space="preserve">    100.00% 설계 12/10-12/11 </v>
      </c>
      <c r="AH14" s="236"/>
      <c r="AI14" s="236"/>
      <c r="AJ14" s="236"/>
      <c r="AK14" s="236"/>
      <c r="AL14" s="236"/>
      <c r="AM14" s="236"/>
    </row>
    <row r="15" spans="1:80" outlineLevel="2">
      <c r="A15" s="189"/>
      <c r="B15" s="189"/>
      <c r="C15" s="189">
        <v>3</v>
      </c>
      <c r="D15" s="201" t="s">
        <v>1288</v>
      </c>
      <c r="E15" s="190"/>
      <c r="F15" s="190"/>
      <c r="G15" s="190" t="s">
        <v>1399</v>
      </c>
      <c r="H15" s="190"/>
      <c r="I15" s="190"/>
      <c r="J15" s="190"/>
      <c r="K15" s="190"/>
      <c r="L15" s="190"/>
      <c r="M15" s="190"/>
      <c r="N15" s="190"/>
      <c r="O15" s="190"/>
      <c r="P15" s="191">
        <v>43809</v>
      </c>
      <c r="Q15" s="191">
        <v>43810</v>
      </c>
      <c r="R15" s="193"/>
      <c r="S15" s="194">
        <v>2</v>
      </c>
      <c r="T15" s="194">
        <v>2</v>
      </c>
      <c r="U15" s="192">
        <v>2</v>
      </c>
      <c r="V15" s="192">
        <v>2</v>
      </c>
      <c r="W15" s="191"/>
      <c r="X15" s="191"/>
      <c r="Y15" s="195"/>
      <c r="Z15" s="196">
        <v>0</v>
      </c>
      <c r="AA15" s="197">
        <v>1</v>
      </c>
      <c r="AB15" s="238" t="s">
        <v>1392</v>
      </c>
      <c r="AC15" s="198"/>
      <c r="AD15" s="199">
        <v>1</v>
      </c>
      <c r="AE15" s="200">
        <v>1</v>
      </c>
      <c r="AF15" s="235"/>
      <c r="AG15" s="236" t="str">
        <f>"    " &amp; TEXT(AE15,"#0.00%") &amp; " " &amp; "DB설계" &amp; "(안동규)" &amp; " " &amp; IF(P15="","",TEXT(P15,"M/D-")) &amp; IF(Q15="","",TEXT(Q15,"M/D")) &amp; " "</f>
        <v xml:space="preserve">    100.00% DB설계(안동규) 12/10-12/11 </v>
      </c>
      <c r="AH15" s="236"/>
      <c r="AI15" s="236"/>
      <c r="AJ15" s="236"/>
      <c r="AK15" s="236"/>
      <c r="AL15" s="236"/>
      <c r="AM15" s="236"/>
    </row>
    <row r="16" spans="1:80" outlineLevel="1">
      <c r="A16" s="189"/>
      <c r="B16" s="189" t="s">
        <v>1262</v>
      </c>
      <c r="C16" s="189">
        <v>2</v>
      </c>
      <c r="D16" s="201" t="s">
        <v>1335</v>
      </c>
      <c r="E16" s="190"/>
      <c r="F16" s="237" t="s">
        <v>1187</v>
      </c>
      <c r="G16" s="190"/>
      <c r="H16" s="190"/>
      <c r="I16" s="190"/>
      <c r="J16" s="190"/>
      <c r="K16" s="190"/>
      <c r="L16" s="190"/>
      <c r="M16" s="190"/>
      <c r="N16" s="190"/>
      <c r="O16" s="190"/>
      <c r="P16" s="191">
        <v>43810</v>
      </c>
      <c r="Q16" s="191">
        <v>43812</v>
      </c>
      <c r="R16" s="193"/>
      <c r="S16" s="194">
        <v>7</v>
      </c>
      <c r="T16" s="194">
        <v>7</v>
      </c>
      <c r="U16" s="192">
        <v>3</v>
      </c>
      <c r="V16" s="192">
        <v>3</v>
      </c>
      <c r="W16" s="191"/>
      <c r="X16" s="191"/>
      <c r="Y16" s="195">
        <v>0</v>
      </c>
      <c r="Z16" s="196">
        <v>0</v>
      </c>
      <c r="AA16" s="197"/>
      <c r="AB16" s="193"/>
      <c r="AC16" s="198"/>
      <c r="AD16" s="199">
        <v>1</v>
      </c>
      <c r="AE16" s="200">
        <v>1</v>
      </c>
      <c r="AF16" s="235"/>
      <c r="AG16" s="236" t="str">
        <f>"      " &amp; TEXT(AE16,"#0.00%") &amp; " " &amp; "개발" &amp; " " &amp; IF(P16="","",TEXT(P16,"M/D-")) &amp; IF(Q16="","",TEXT(Q16,"M/D")) &amp; " "</f>
        <v xml:space="preserve">      100.00% 개발 12/11-12/13 </v>
      </c>
      <c r="AH16" s="236"/>
      <c r="AI16" s="236"/>
      <c r="AJ16" s="236"/>
      <c r="AK16" s="236"/>
      <c r="AL16" s="236"/>
      <c r="AM16" s="236"/>
    </row>
    <row r="17" spans="1:39" outlineLevel="2">
      <c r="A17" s="189"/>
      <c r="B17" s="189"/>
      <c r="C17" s="189">
        <v>3</v>
      </c>
      <c r="D17" s="201" t="s">
        <v>1299</v>
      </c>
      <c r="E17" s="190"/>
      <c r="F17" s="190"/>
      <c r="G17" s="190" t="s">
        <v>1400</v>
      </c>
      <c r="H17" s="190"/>
      <c r="I17" s="190"/>
      <c r="J17" s="190"/>
      <c r="K17" s="190"/>
      <c r="L17" s="190"/>
      <c r="M17" s="190"/>
      <c r="N17" s="190"/>
      <c r="O17" s="190"/>
      <c r="P17" s="191">
        <v>43810</v>
      </c>
      <c r="Q17" s="191">
        <v>43811</v>
      </c>
      <c r="R17" s="193"/>
      <c r="S17" s="194">
        <v>2</v>
      </c>
      <c r="T17" s="194">
        <v>2</v>
      </c>
      <c r="U17" s="192">
        <v>2</v>
      </c>
      <c r="V17" s="192">
        <v>2</v>
      </c>
      <c r="W17" s="191"/>
      <c r="X17" s="191"/>
      <c r="Y17" s="195"/>
      <c r="Z17" s="196">
        <v>0</v>
      </c>
      <c r="AA17" s="197">
        <v>1</v>
      </c>
      <c r="AB17" s="238" t="s">
        <v>1392</v>
      </c>
      <c r="AC17" s="198"/>
      <c r="AD17" s="199">
        <v>1</v>
      </c>
      <c r="AE17" s="200">
        <v>1</v>
      </c>
      <c r="AF17" s="235"/>
      <c r="AG17" s="236" t="str">
        <f>"     " &amp; TEXT(AE17,"#0.00%") &amp; " " &amp; "R studio를 이용한 그래프 시각화" &amp; "(안동규)" &amp; " " &amp; IF(P17="","",TEXT(P17,"M/D-")) &amp; IF(Q17="","",TEXT(Q17,"M/D")) &amp; " "</f>
        <v xml:space="preserve">     100.00% R studio를 이용한 그래프 시각화(안동규) 12/11-12/12 </v>
      </c>
      <c r="AH17" s="236"/>
      <c r="AI17" s="236"/>
      <c r="AJ17" s="236"/>
      <c r="AK17" s="236"/>
      <c r="AL17" s="236"/>
      <c r="AM17" s="236"/>
    </row>
    <row r="18" spans="1:39" outlineLevel="2">
      <c r="A18" s="189"/>
      <c r="B18" s="189"/>
      <c r="C18" s="189">
        <v>3</v>
      </c>
      <c r="D18" s="201" t="s">
        <v>1316</v>
      </c>
      <c r="E18" s="190"/>
      <c r="F18" s="190"/>
      <c r="G18" s="190" t="s">
        <v>1401</v>
      </c>
      <c r="H18" s="190"/>
      <c r="I18" s="190"/>
      <c r="J18" s="190"/>
      <c r="K18" s="190"/>
      <c r="L18" s="190"/>
      <c r="M18" s="190"/>
      <c r="N18" s="190"/>
      <c r="O18" s="190"/>
      <c r="P18" s="191">
        <v>43811</v>
      </c>
      <c r="Q18" s="191">
        <v>43812</v>
      </c>
      <c r="R18" s="193"/>
      <c r="S18" s="194">
        <v>2</v>
      </c>
      <c r="T18" s="194">
        <v>2</v>
      </c>
      <c r="U18" s="192">
        <v>2</v>
      </c>
      <c r="V18" s="192">
        <v>2</v>
      </c>
      <c r="W18" s="191"/>
      <c r="X18" s="191"/>
      <c r="Y18" s="195"/>
      <c r="Z18" s="196">
        <v>0</v>
      </c>
      <c r="AA18" s="197">
        <v>1</v>
      </c>
      <c r="AB18" s="238" t="s">
        <v>1392</v>
      </c>
      <c r="AC18" s="198"/>
      <c r="AD18" s="199">
        <v>1</v>
      </c>
      <c r="AE18" s="200">
        <v>1</v>
      </c>
      <c r="AF18" s="235"/>
      <c r="AG18" s="236" t="str">
        <f>"      " &amp; TEXT(AE18,"#0.00%") &amp; " " &amp; "Kakao pay를 활용한 후원하기 기능" &amp; "(안동규)" &amp; " " &amp; IF(P18="","",TEXT(P18,"M/D-")) &amp; IF(Q18="","",TEXT(Q18,"M/D")) &amp; " "</f>
        <v xml:space="preserve">      100.00% Kakao pay를 활용한 후원하기 기능(안동규) 12/12-12/13 </v>
      </c>
      <c r="AH18" s="236"/>
      <c r="AI18" s="236"/>
      <c r="AJ18" s="236"/>
      <c r="AK18" s="236"/>
      <c r="AL18" s="236"/>
      <c r="AM18" s="236"/>
    </row>
    <row r="19" spans="1:39" outlineLevel="2">
      <c r="A19" s="189"/>
      <c r="B19" s="189"/>
      <c r="C19" s="189">
        <v>3</v>
      </c>
      <c r="D19" s="201" t="s">
        <v>1405</v>
      </c>
      <c r="E19" s="190"/>
      <c r="F19" s="190"/>
      <c r="G19" s="190" t="s">
        <v>1402</v>
      </c>
      <c r="H19" s="190"/>
      <c r="I19" s="190"/>
      <c r="J19" s="190"/>
      <c r="K19" s="190"/>
      <c r="L19" s="190"/>
      <c r="M19" s="190"/>
      <c r="N19" s="190"/>
      <c r="O19" s="190"/>
      <c r="P19" s="191">
        <v>43810</v>
      </c>
      <c r="Q19" s="191">
        <v>43812</v>
      </c>
      <c r="R19" s="193"/>
      <c r="S19" s="194">
        <v>3</v>
      </c>
      <c r="T19" s="194">
        <v>3</v>
      </c>
      <c r="U19" s="192">
        <v>3</v>
      </c>
      <c r="V19" s="192">
        <v>3</v>
      </c>
      <c r="W19" s="191"/>
      <c r="X19" s="191"/>
      <c r="Y19" s="195"/>
      <c r="Z19" s="196">
        <v>0</v>
      </c>
      <c r="AA19" s="197">
        <v>1</v>
      </c>
      <c r="AB19" s="238" t="s">
        <v>1393</v>
      </c>
      <c r="AC19" s="198"/>
      <c r="AD19" s="199">
        <v>1</v>
      </c>
      <c r="AE19" s="200">
        <v>1</v>
      </c>
      <c r="AF19" s="235"/>
      <c r="AG19" s="236" t="str">
        <f>"      " &amp; TEXT(AE19,"#0.00%") &amp; " " &amp; "Kakao map을 이용한 지도 생성" &amp; "(하동민)" &amp; " " &amp; IF(P19="","",TEXT(P19,"M/D-")) &amp; IF(Q19="","",TEXT(Q19,"M/D")) &amp; " "</f>
        <v xml:space="preserve">      100.00% Kakao map을 이용한 지도 생성(하동민) 12/11-12/13 </v>
      </c>
      <c r="AH19" s="236"/>
      <c r="AI19" s="236"/>
      <c r="AJ19" s="236"/>
      <c r="AK19" s="236"/>
      <c r="AL19" s="236"/>
      <c r="AM19" s="236"/>
    </row>
    <row r="20" spans="1:39" outlineLevel="1">
      <c r="A20" s="189"/>
      <c r="B20" s="189" t="s">
        <v>1262</v>
      </c>
      <c r="C20" s="189">
        <v>2</v>
      </c>
      <c r="D20" s="201" t="s">
        <v>1336</v>
      </c>
      <c r="E20" s="190"/>
      <c r="F20" s="190" t="s">
        <v>1403</v>
      </c>
      <c r="G20" s="190"/>
      <c r="H20" s="190"/>
      <c r="I20" s="190"/>
      <c r="J20" s="190"/>
      <c r="K20" s="190"/>
      <c r="L20" s="190"/>
      <c r="M20" s="190"/>
      <c r="N20" s="190"/>
      <c r="O20" s="190"/>
      <c r="P20" s="191">
        <v>43811</v>
      </c>
      <c r="Q20" s="191">
        <v>43812</v>
      </c>
      <c r="R20" s="193"/>
      <c r="S20" s="194">
        <v>2</v>
      </c>
      <c r="T20" s="194">
        <v>2</v>
      </c>
      <c r="U20" s="192">
        <v>2</v>
      </c>
      <c r="V20" s="192">
        <v>2</v>
      </c>
      <c r="W20" s="191"/>
      <c r="X20" s="191"/>
      <c r="Y20" s="195">
        <v>0</v>
      </c>
      <c r="Z20" s="196">
        <v>0</v>
      </c>
      <c r="AA20" s="197"/>
      <c r="AB20" s="193"/>
      <c r="AC20" s="198"/>
      <c r="AD20" s="199">
        <v>1</v>
      </c>
      <c r="AE20" s="200">
        <v>1</v>
      </c>
      <c r="AF20" s="235"/>
      <c r="AG20" s="236" t="str">
        <f>"      " &amp; TEXT(AE20,"#0.00%") &amp; " " &amp; "추가 개발사항" &amp; " " &amp; IF(P20="","",TEXT(P20,"M/D-")) &amp; IF(Q20="","",TEXT(Q20,"M/D")) &amp; " "</f>
        <v xml:space="preserve">      100.00% 추가 개발사항 12/12-12/13 </v>
      </c>
      <c r="AH20" s="236"/>
      <c r="AI20" s="236"/>
      <c r="AJ20" s="236"/>
      <c r="AK20" s="236"/>
      <c r="AL20" s="236"/>
      <c r="AM20" s="236"/>
    </row>
    <row r="21" spans="1:39" outlineLevel="2">
      <c r="A21" s="189"/>
      <c r="B21" s="189"/>
      <c r="C21" s="189">
        <v>3</v>
      </c>
      <c r="D21" s="201" t="s">
        <v>1321</v>
      </c>
      <c r="E21" s="190"/>
      <c r="F21" s="190"/>
      <c r="G21" s="190" t="s">
        <v>1404</v>
      </c>
      <c r="H21" s="190"/>
      <c r="I21" s="190"/>
      <c r="J21" s="190"/>
      <c r="K21" s="190"/>
      <c r="L21" s="190"/>
      <c r="M21" s="190"/>
      <c r="N21" s="190"/>
      <c r="O21" s="190"/>
      <c r="P21" s="191">
        <v>43811</v>
      </c>
      <c r="Q21" s="191">
        <v>43812</v>
      </c>
      <c r="R21" s="193"/>
      <c r="S21" s="194">
        <v>2</v>
      </c>
      <c r="T21" s="194">
        <v>2</v>
      </c>
      <c r="U21" s="192">
        <v>2</v>
      </c>
      <c r="V21" s="192">
        <v>2</v>
      </c>
      <c r="W21" s="191"/>
      <c r="X21" s="191"/>
      <c r="Y21" s="195"/>
      <c r="Z21" s="196">
        <v>0</v>
      </c>
      <c r="AA21" s="197">
        <v>1</v>
      </c>
      <c r="AB21" s="238" t="s">
        <v>1392</v>
      </c>
      <c r="AC21" s="198"/>
      <c r="AD21" s="199">
        <v>1</v>
      </c>
      <c r="AE21" s="200">
        <v>1</v>
      </c>
      <c r="AF21" s="235"/>
      <c r="AG21" s="236" t="str">
        <f>"      " &amp; TEXT(AE21,"#0.00%") &amp; " " &amp; "페이지별 접근제어 설정" &amp; "(안동규)" &amp; " " &amp; IF(P21="","",TEXT(P21,"M/D-")) &amp; IF(Q21="","",TEXT(Q21,"M/D")) &amp; " "</f>
        <v xml:space="preserve">      100.00% 페이지별 접근제어 설정(안동규) 12/12-12/13 </v>
      </c>
      <c r="AH21" s="236"/>
      <c r="AI21" s="236"/>
      <c r="AJ21" s="236"/>
      <c r="AK21" s="236"/>
      <c r="AL21" s="236"/>
      <c r="AM21" s="236"/>
    </row>
    <row r="22" spans="1:39">
      <c r="A22" s="189"/>
      <c r="B22" s="189" t="s">
        <v>1262</v>
      </c>
      <c r="C22" s="189">
        <v>1</v>
      </c>
      <c r="D22" s="201" t="s">
        <v>1150</v>
      </c>
      <c r="E22" s="190" t="s">
        <v>1407</v>
      </c>
      <c r="F22" s="190"/>
      <c r="G22" s="190"/>
      <c r="H22" s="190"/>
      <c r="I22" s="190"/>
      <c r="J22" s="190"/>
      <c r="K22" s="190"/>
      <c r="L22" s="190"/>
      <c r="M22" s="190"/>
      <c r="N22" s="190"/>
      <c r="O22" s="190"/>
      <c r="P22" s="191">
        <v>43815</v>
      </c>
      <c r="Q22" s="191">
        <v>43819</v>
      </c>
      <c r="R22" s="193"/>
      <c r="S22" s="194">
        <v>16</v>
      </c>
      <c r="T22" s="194">
        <v>16</v>
      </c>
      <c r="U22" s="192">
        <v>5</v>
      </c>
      <c r="V22" s="192">
        <v>5</v>
      </c>
      <c r="W22" s="191"/>
      <c r="X22" s="191"/>
      <c r="Y22" s="195">
        <v>0</v>
      </c>
      <c r="Z22" s="196">
        <v>0</v>
      </c>
      <c r="AA22" s="197"/>
      <c r="AB22" s="193"/>
      <c r="AC22" s="198"/>
      <c r="AD22" s="199">
        <v>1</v>
      </c>
      <c r="AE22" s="200">
        <v>1</v>
      </c>
      <c r="AF22" s="235"/>
      <c r="AG22" s="236"/>
      <c r="AH22" s="236" t="str">
        <f>"      " &amp; TEXT(AE22,"#0.00%") &amp; " " &amp; "3주차 프로젝트 회의" &amp; " " &amp; IF(P22="","",TEXT(P22,"M/D-")) &amp; IF(Q22="","",TEXT(Q22,"M/D")) &amp; " "</f>
        <v xml:space="preserve">      100.00% 3주차 프로젝트 회의 12/16-12/20 </v>
      </c>
      <c r="AI22" s="236"/>
      <c r="AJ22" s="236"/>
      <c r="AK22" s="236"/>
      <c r="AL22" s="236"/>
      <c r="AM22" s="236"/>
    </row>
    <row r="23" spans="1:39" outlineLevel="1">
      <c r="A23" s="189"/>
      <c r="B23" s="189" t="s">
        <v>1262</v>
      </c>
      <c r="C23" s="189">
        <v>2</v>
      </c>
      <c r="D23" s="201" t="s">
        <v>1415</v>
      </c>
      <c r="E23" s="190"/>
      <c r="F23" s="237" t="s">
        <v>1187</v>
      </c>
      <c r="G23" s="190"/>
      <c r="H23" s="190"/>
      <c r="I23" s="190"/>
      <c r="J23" s="190"/>
      <c r="K23" s="190"/>
      <c r="L23" s="190"/>
      <c r="M23" s="190"/>
      <c r="N23" s="190"/>
      <c r="O23" s="190"/>
      <c r="P23" s="191">
        <v>43815</v>
      </c>
      <c r="Q23" s="191">
        <v>43819</v>
      </c>
      <c r="R23" s="193"/>
      <c r="S23" s="194">
        <v>16</v>
      </c>
      <c r="T23" s="194">
        <v>16</v>
      </c>
      <c r="U23" s="192">
        <v>5</v>
      </c>
      <c r="V23" s="192">
        <v>5</v>
      </c>
      <c r="W23" s="191"/>
      <c r="X23" s="191"/>
      <c r="Y23" s="195">
        <v>0</v>
      </c>
      <c r="Z23" s="196">
        <v>0</v>
      </c>
      <c r="AA23" s="197"/>
      <c r="AB23" s="193"/>
      <c r="AC23" s="198"/>
      <c r="AD23" s="199">
        <v>1</v>
      </c>
      <c r="AE23" s="200">
        <v>1</v>
      </c>
      <c r="AF23" s="235"/>
      <c r="AG23" s="236"/>
      <c r="AH23" s="236" t="str">
        <f>"      " &amp; TEXT(AE23,"#0.00%") &amp; " " &amp; "개발" &amp; " " &amp; IF(P23="","",TEXT(P23,"M/D-")) &amp; IF(Q23="","",TEXT(Q23,"M/D")) &amp; " "</f>
        <v xml:space="preserve">      100.00% 개발 12/16-12/20 </v>
      </c>
      <c r="AI23" s="236"/>
      <c r="AJ23" s="236"/>
      <c r="AK23" s="236"/>
      <c r="AL23" s="236"/>
      <c r="AM23" s="236"/>
    </row>
    <row r="24" spans="1:39" outlineLevel="2">
      <c r="A24" s="189"/>
      <c r="B24" s="189"/>
      <c r="C24" s="189">
        <v>3</v>
      </c>
      <c r="D24" s="201" t="s">
        <v>1416</v>
      </c>
      <c r="E24" s="190"/>
      <c r="F24" s="190"/>
      <c r="G24" s="190" t="s">
        <v>1408</v>
      </c>
      <c r="H24" s="190"/>
      <c r="I24" s="190"/>
      <c r="J24" s="190"/>
      <c r="K24" s="190"/>
      <c r="L24" s="190"/>
      <c r="M24" s="190"/>
      <c r="N24" s="190"/>
      <c r="O24" s="190"/>
      <c r="P24" s="191">
        <v>43815</v>
      </c>
      <c r="Q24" s="191">
        <v>43817</v>
      </c>
      <c r="R24" s="193"/>
      <c r="S24" s="194">
        <v>3</v>
      </c>
      <c r="T24" s="194">
        <v>3</v>
      </c>
      <c r="U24" s="192">
        <v>3</v>
      </c>
      <c r="V24" s="192">
        <v>3</v>
      </c>
      <c r="W24" s="191"/>
      <c r="X24" s="191"/>
      <c r="Y24" s="195"/>
      <c r="Z24" s="196">
        <v>0</v>
      </c>
      <c r="AA24" s="197">
        <v>1</v>
      </c>
      <c r="AB24" s="238" t="s">
        <v>1393</v>
      </c>
      <c r="AC24" s="198"/>
      <c r="AD24" s="199">
        <v>1</v>
      </c>
      <c r="AE24" s="200">
        <v>1</v>
      </c>
      <c r="AF24" s="235"/>
      <c r="AG24" s="236"/>
      <c r="AH24" s="236" t="str">
        <f>"    " &amp; TEXT(AE24,"#0.00%") &amp; " " &amp; "봉사자 기부금 랭킹 로직 구현" &amp; "(하동민)" &amp; " " &amp; IF(P24="","",TEXT(P24,"M/D-")) &amp; IF(Q24="","",TEXT(Q24,"M/D")) &amp; " "</f>
        <v xml:space="preserve">    100.00% 봉사자 기부금 랭킹 로직 구현(하동민) 12/16-12/18 </v>
      </c>
      <c r="AI24" s="236"/>
      <c r="AJ24" s="236"/>
      <c r="AK24" s="236"/>
      <c r="AL24" s="236"/>
      <c r="AM24" s="236"/>
    </row>
    <row r="25" spans="1:39" outlineLevel="2">
      <c r="A25" s="189"/>
      <c r="B25" s="189"/>
      <c r="C25" s="189">
        <v>3</v>
      </c>
      <c r="D25" s="201" t="s">
        <v>1417</v>
      </c>
      <c r="E25" s="190"/>
      <c r="F25" s="190"/>
      <c r="G25" s="190" t="s">
        <v>1409</v>
      </c>
      <c r="H25" s="190"/>
      <c r="I25" s="190"/>
      <c r="J25" s="190"/>
      <c r="K25" s="190"/>
      <c r="L25" s="190"/>
      <c r="M25" s="190"/>
      <c r="N25" s="190"/>
      <c r="O25" s="190"/>
      <c r="P25" s="191">
        <v>43815</v>
      </c>
      <c r="Q25" s="191">
        <v>43816</v>
      </c>
      <c r="R25" s="193"/>
      <c r="S25" s="194">
        <v>2</v>
      </c>
      <c r="T25" s="194">
        <v>2</v>
      </c>
      <c r="U25" s="192">
        <v>2</v>
      </c>
      <c r="V25" s="192">
        <v>2</v>
      </c>
      <c r="W25" s="191"/>
      <c r="X25" s="191"/>
      <c r="Y25" s="195"/>
      <c r="Z25" s="196">
        <v>0</v>
      </c>
      <c r="AA25" s="197">
        <v>1</v>
      </c>
      <c r="AB25" s="238" t="s">
        <v>1406</v>
      </c>
      <c r="AC25" s="198"/>
      <c r="AD25" s="199">
        <v>1</v>
      </c>
      <c r="AE25" s="200">
        <v>1</v>
      </c>
      <c r="AF25" s="235"/>
      <c r="AG25" s="236"/>
      <c r="AH25" s="236" t="str">
        <f>"   " &amp; TEXT(AE25,"#0.00%") &amp; " " &amp; "장애인페이지 내부 마커 구현" &amp; "(권병준)" &amp; " " &amp; IF(P25="","",TEXT(P25,"M/D-")) &amp; IF(Q25="","",TEXT(Q25,"M/D")) &amp; " "</f>
        <v xml:space="preserve">   100.00% 장애인페이지 내부 마커 구현(권병준) 12/16-12/17 </v>
      </c>
      <c r="AI25" s="236"/>
      <c r="AJ25" s="236"/>
      <c r="AK25" s="236"/>
      <c r="AL25" s="236"/>
      <c r="AM25" s="236"/>
    </row>
    <row r="26" spans="1:39" outlineLevel="2">
      <c r="A26" s="189"/>
      <c r="B26" s="189"/>
      <c r="C26" s="189">
        <v>3</v>
      </c>
      <c r="D26" s="201" t="s">
        <v>1418</v>
      </c>
      <c r="E26" s="190"/>
      <c r="F26" s="190"/>
      <c r="G26" s="190" t="s">
        <v>1410</v>
      </c>
      <c r="H26" s="190"/>
      <c r="I26" s="190"/>
      <c r="J26" s="190"/>
      <c r="K26" s="190"/>
      <c r="L26" s="190"/>
      <c r="M26" s="190"/>
      <c r="N26" s="190"/>
      <c r="O26" s="190"/>
      <c r="P26" s="191">
        <v>43816</v>
      </c>
      <c r="Q26" s="191">
        <v>43818</v>
      </c>
      <c r="R26" s="193"/>
      <c r="S26" s="194">
        <v>3</v>
      </c>
      <c r="T26" s="194">
        <v>3</v>
      </c>
      <c r="U26" s="192">
        <v>3</v>
      </c>
      <c r="V26" s="192">
        <v>3</v>
      </c>
      <c r="W26" s="191"/>
      <c r="X26" s="191"/>
      <c r="Y26" s="195"/>
      <c r="Z26" s="196">
        <v>0</v>
      </c>
      <c r="AA26" s="197">
        <v>1</v>
      </c>
      <c r="AB26" s="238" t="s">
        <v>1406</v>
      </c>
      <c r="AC26" s="198"/>
      <c r="AD26" s="199">
        <v>1</v>
      </c>
      <c r="AE26" s="200">
        <v>1</v>
      </c>
      <c r="AF26" s="235"/>
      <c r="AG26" s="236"/>
      <c r="AH26" s="236" t="str">
        <f>"     " &amp; TEXT(AE26,"#0.00%") &amp; " " &amp; "장애인페이지 클릭 이벤트 구현" &amp; "(권병준)" &amp; " " &amp; IF(P26="","",TEXT(P26,"M/D-")) &amp; IF(Q26="","",TEXT(Q26,"M/D")) &amp; " "</f>
        <v xml:space="preserve">     100.00% 장애인페이지 클릭 이벤트 구현(권병준) 12/17-12/19 </v>
      </c>
      <c r="AI26" s="236"/>
      <c r="AJ26" s="236"/>
      <c r="AK26" s="236"/>
      <c r="AL26" s="236"/>
      <c r="AM26" s="236"/>
    </row>
    <row r="27" spans="1:39" outlineLevel="2">
      <c r="A27" s="189"/>
      <c r="B27" s="189"/>
      <c r="C27" s="189">
        <v>3</v>
      </c>
      <c r="D27" s="201" t="s">
        <v>1419</v>
      </c>
      <c r="E27" s="190"/>
      <c r="F27" s="190"/>
      <c r="G27" s="190" t="s">
        <v>1411</v>
      </c>
      <c r="H27" s="190"/>
      <c r="I27" s="190"/>
      <c r="J27" s="190"/>
      <c r="K27" s="190"/>
      <c r="L27" s="190"/>
      <c r="M27" s="190"/>
      <c r="N27" s="190"/>
      <c r="O27" s="190"/>
      <c r="P27" s="191">
        <v>43818</v>
      </c>
      <c r="Q27" s="191">
        <v>43819</v>
      </c>
      <c r="R27" s="193"/>
      <c r="S27" s="194">
        <v>2</v>
      </c>
      <c r="T27" s="194">
        <v>2</v>
      </c>
      <c r="U27" s="192">
        <v>2</v>
      </c>
      <c r="V27" s="192">
        <v>2</v>
      </c>
      <c r="W27" s="191"/>
      <c r="X27" s="191"/>
      <c r="Y27" s="195"/>
      <c r="Z27" s="196">
        <v>0</v>
      </c>
      <c r="AA27" s="197">
        <v>1</v>
      </c>
      <c r="AB27" s="193" t="s">
        <v>1412</v>
      </c>
      <c r="AC27" s="198"/>
      <c r="AD27" s="199">
        <v>1</v>
      </c>
      <c r="AE27" s="200">
        <v>1</v>
      </c>
      <c r="AF27" s="235"/>
      <c r="AG27" s="236"/>
      <c r="AH27" s="236" t="str">
        <f>"      " &amp; TEXT(AE27,"#0.00%") &amp; " " &amp; "주소를 이용한 좌표변환 Kakao API" &amp; "(권병준, 하동민)" &amp; " " &amp; IF(P27="","",TEXT(P27,"M/D-")) &amp; IF(Q27="","",TEXT(Q27,"M/D")) &amp; " "</f>
        <v xml:space="preserve">      100.00% 주소를 이용한 좌표변환 Kakao API(권병준, 하동민) 12/19-12/20 </v>
      </c>
      <c r="AI27" s="236"/>
      <c r="AJ27" s="236"/>
      <c r="AK27" s="236"/>
      <c r="AL27" s="236"/>
      <c r="AM27" s="236"/>
    </row>
    <row r="28" spans="1:39" outlineLevel="2">
      <c r="A28" s="189"/>
      <c r="B28" s="189"/>
      <c r="C28" s="189">
        <v>3</v>
      </c>
      <c r="D28" s="201" t="s">
        <v>1420</v>
      </c>
      <c r="E28" s="190"/>
      <c r="F28" s="190"/>
      <c r="G28" s="190" t="s">
        <v>1413</v>
      </c>
      <c r="H28" s="190"/>
      <c r="I28" s="190"/>
      <c r="J28" s="190"/>
      <c r="K28" s="190"/>
      <c r="L28" s="190"/>
      <c r="M28" s="190"/>
      <c r="N28" s="190"/>
      <c r="O28" s="190"/>
      <c r="P28" s="191">
        <v>43815</v>
      </c>
      <c r="Q28" s="191">
        <v>43818</v>
      </c>
      <c r="R28" s="193"/>
      <c r="S28" s="194">
        <v>4</v>
      </c>
      <c r="T28" s="194">
        <v>4</v>
      </c>
      <c r="U28" s="192">
        <v>4</v>
      </c>
      <c r="V28" s="192">
        <v>4</v>
      </c>
      <c r="W28" s="191"/>
      <c r="X28" s="191"/>
      <c r="Y28" s="195"/>
      <c r="Z28" s="196">
        <v>0</v>
      </c>
      <c r="AA28" s="197">
        <v>1</v>
      </c>
      <c r="AB28" s="238" t="s">
        <v>1392</v>
      </c>
      <c r="AC28" s="198"/>
      <c r="AD28" s="199">
        <v>1</v>
      </c>
      <c r="AE28" s="200">
        <v>1</v>
      </c>
      <c r="AF28" s="235"/>
      <c r="AG28" s="236"/>
      <c r="AH28" s="236" t="str">
        <f>"     " &amp; TEXT(AE28,"#0.00%") &amp; " " &amp; "봉사자와 장애인사이의 통신 프로세스" &amp; "(안동규)" &amp; " " &amp; IF(P28="","",TEXT(P28,"M/D-")) &amp; IF(Q28="","",TEXT(Q28,"M/D")) &amp; " "</f>
        <v xml:space="preserve">     100.00% 봉사자와 장애인사이의 통신 프로세스(안동규) 12/16-12/19 </v>
      </c>
      <c r="AI28" s="236"/>
      <c r="AJ28" s="236"/>
      <c r="AK28" s="236"/>
      <c r="AL28" s="236"/>
      <c r="AM28" s="236"/>
    </row>
    <row r="29" spans="1:39" outlineLevel="2">
      <c r="A29" s="189"/>
      <c r="B29" s="189"/>
      <c r="C29" s="189">
        <v>3</v>
      </c>
      <c r="D29" s="201" t="s">
        <v>1421</v>
      </c>
      <c r="E29" s="190"/>
      <c r="F29" s="190"/>
      <c r="G29" s="190" t="s">
        <v>1414</v>
      </c>
      <c r="H29" s="190"/>
      <c r="I29" s="190"/>
      <c r="J29" s="190"/>
      <c r="K29" s="190"/>
      <c r="L29" s="190"/>
      <c r="M29" s="190"/>
      <c r="N29" s="190"/>
      <c r="O29" s="190"/>
      <c r="P29" s="191">
        <v>43818</v>
      </c>
      <c r="Q29" s="191">
        <v>43819</v>
      </c>
      <c r="R29" s="193"/>
      <c r="S29" s="194">
        <v>2</v>
      </c>
      <c r="T29" s="194">
        <v>2</v>
      </c>
      <c r="U29" s="192">
        <v>2</v>
      </c>
      <c r="V29" s="192">
        <v>2</v>
      </c>
      <c r="W29" s="191"/>
      <c r="X29" s="191"/>
      <c r="Y29" s="195"/>
      <c r="Z29" s="196">
        <v>0</v>
      </c>
      <c r="AA29" s="197">
        <v>1</v>
      </c>
      <c r="AB29" s="238" t="s">
        <v>1392</v>
      </c>
      <c r="AC29" s="198"/>
      <c r="AD29" s="199">
        <v>1</v>
      </c>
      <c r="AE29" s="200">
        <v>1</v>
      </c>
      <c r="AF29" s="235"/>
      <c r="AG29" s="236"/>
      <c r="AH29" s="236" t="str">
        <f>"      " &amp; TEXT(AE29,"#0.00%") &amp; " " &amp; "SMS Open API 구현" &amp; "(안동규)" &amp; " " &amp; IF(P29="","",TEXT(P29,"M/D-")) &amp; IF(Q29="","",TEXT(Q29,"M/D")) &amp; " "</f>
        <v xml:space="preserve">      100.00% SMS Open API 구현(안동규) 12/19-12/20 </v>
      </c>
      <c r="AI29" s="236"/>
      <c r="AJ29" s="236"/>
      <c r="AK29" s="236"/>
      <c r="AL29" s="236"/>
      <c r="AM29" s="236"/>
    </row>
    <row r="30" spans="1:39">
      <c r="A30" s="189"/>
      <c r="B30" s="189" t="s">
        <v>1262</v>
      </c>
      <c r="C30" s="189">
        <v>1</v>
      </c>
      <c r="D30" s="201" t="s">
        <v>1151</v>
      </c>
      <c r="E30" s="190" t="s">
        <v>1422</v>
      </c>
      <c r="F30" s="190"/>
      <c r="G30" s="190"/>
      <c r="H30" s="190"/>
      <c r="I30" s="190"/>
      <c r="J30" s="190"/>
      <c r="K30" s="190"/>
      <c r="L30" s="190"/>
      <c r="M30" s="190"/>
      <c r="N30" s="190"/>
      <c r="O30" s="190"/>
      <c r="P30" s="191">
        <v>43822</v>
      </c>
      <c r="Q30" s="191">
        <v>43826</v>
      </c>
      <c r="R30" s="193"/>
      <c r="S30" s="194">
        <v>18</v>
      </c>
      <c r="T30" s="194">
        <v>18</v>
      </c>
      <c r="U30" s="192">
        <v>4</v>
      </c>
      <c r="V30" s="192">
        <v>4</v>
      </c>
      <c r="W30" s="191"/>
      <c r="X30" s="191"/>
      <c r="Y30" s="195">
        <v>0</v>
      </c>
      <c r="Z30" s="196">
        <v>0</v>
      </c>
      <c r="AA30" s="197"/>
      <c r="AB30" s="193"/>
      <c r="AC30" s="198"/>
      <c r="AD30" s="199">
        <v>1</v>
      </c>
      <c r="AE30" s="200">
        <v>1</v>
      </c>
      <c r="AF30" s="235"/>
      <c r="AG30" s="236"/>
      <c r="AH30" s="236"/>
      <c r="AI30" s="236" t="str">
        <f>"      " &amp; TEXT(AE30,"#0.00%") &amp; " " &amp; "4주차 프로젝트 회의" &amp; " " &amp; IF(P30="","",TEXT(P30,"M/D-")) &amp; IF(Q30="","",TEXT(Q30,"M/D")) &amp; " "</f>
        <v xml:space="preserve">      100.00% 4주차 프로젝트 회의 12/23-12/27 </v>
      </c>
      <c r="AJ30" s="236"/>
      <c r="AK30" s="236"/>
      <c r="AL30" s="236"/>
      <c r="AM30" s="236"/>
    </row>
    <row r="31" spans="1:39" outlineLevel="1">
      <c r="A31" s="189"/>
      <c r="B31" s="189" t="s">
        <v>1262</v>
      </c>
      <c r="C31" s="189">
        <v>2</v>
      </c>
      <c r="D31" s="201" t="s">
        <v>1430</v>
      </c>
      <c r="E31" s="190"/>
      <c r="F31" s="237" t="s">
        <v>1187</v>
      </c>
      <c r="G31" s="190"/>
      <c r="H31" s="190"/>
      <c r="I31" s="190"/>
      <c r="J31" s="190"/>
      <c r="K31" s="190"/>
      <c r="L31" s="190"/>
      <c r="M31" s="190"/>
      <c r="N31" s="190"/>
      <c r="O31" s="190"/>
      <c r="P31" s="191">
        <v>43822</v>
      </c>
      <c r="Q31" s="191">
        <v>43826</v>
      </c>
      <c r="R31" s="193"/>
      <c r="S31" s="194">
        <v>12</v>
      </c>
      <c r="T31" s="194">
        <v>12</v>
      </c>
      <c r="U31" s="192">
        <v>4</v>
      </c>
      <c r="V31" s="192">
        <v>4</v>
      </c>
      <c r="W31" s="191"/>
      <c r="X31" s="191"/>
      <c r="Y31" s="195">
        <v>0</v>
      </c>
      <c r="Z31" s="196">
        <v>0</v>
      </c>
      <c r="AA31" s="197"/>
      <c r="AB31" s="193"/>
      <c r="AC31" s="198"/>
      <c r="AD31" s="199">
        <v>1</v>
      </c>
      <c r="AE31" s="200">
        <v>1</v>
      </c>
      <c r="AF31" s="235"/>
      <c r="AG31" s="236"/>
      <c r="AH31" s="236"/>
      <c r="AI31" s="236" t="str">
        <f>"      " &amp; TEXT(AE31,"#0.00%") &amp; " " &amp; "개발" &amp; " " &amp; IF(P31="","",TEXT(P31,"M/D-")) &amp; IF(Q31="","",TEXT(Q31,"M/D")) &amp; " "</f>
        <v xml:space="preserve">      100.00% 개발 12/23-12/27 </v>
      </c>
      <c r="AJ31" s="236"/>
      <c r="AK31" s="236"/>
      <c r="AL31" s="236"/>
      <c r="AM31" s="236"/>
    </row>
    <row r="32" spans="1:39" outlineLevel="2">
      <c r="A32" s="189"/>
      <c r="B32" s="189"/>
      <c r="C32" s="189">
        <v>3</v>
      </c>
      <c r="D32" s="201" t="s">
        <v>1431</v>
      </c>
      <c r="E32" s="190"/>
      <c r="F32" s="190"/>
      <c r="G32" s="190" t="s">
        <v>1423</v>
      </c>
      <c r="H32" s="190"/>
      <c r="I32" s="190"/>
      <c r="J32" s="190"/>
      <c r="K32" s="190"/>
      <c r="L32" s="190"/>
      <c r="M32" s="190"/>
      <c r="N32" s="190"/>
      <c r="O32" s="190"/>
      <c r="P32" s="191">
        <v>43822</v>
      </c>
      <c r="Q32" s="191">
        <v>43823</v>
      </c>
      <c r="R32" s="193"/>
      <c r="S32" s="194">
        <v>2</v>
      </c>
      <c r="T32" s="194">
        <v>2</v>
      </c>
      <c r="U32" s="192">
        <v>2</v>
      </c>
      <c r="V32" s="192">
        <v>2</v>
      </c>
      <c r="W32" s="191"/>
      <c r="X32" s="191"/>
      <c r="Y32" s="195"/>
      <c r="Z32" s="196">
        <v>0</v>
      </c>
      <c r="AA32" s="197">
        <v>1</v>
      </c>
      <c r="AB32" s="238" t="s">
        <v>1393</v>
      </c>
      <c r="AC32" s="198"/>
      <c r="AD32" s="199">
        <v>1</v>
      </c>
      <c r="AE32" s="200">
        <v>1</v>
      </c>
      <c r="AF32" s="235"/>
      <c r="AG32" s="236"/>
      <c r="AH32" s="236"/>
      <c r="AI32" s="236" t="str">
        <f>"   " &amp; TEXT(AE32,"#0.00%") &amp; " " &amp; "메인페이지 UI" &amp; "(하동민)" &amp; " " &amp; IF(P32="","",TEXT(P32,"M/D-")) &amp; IF(Q32="","",TEXT(Q32,"M/D")) &amp; " "</f>
        <v xml:space="preserve">   100.00% 메인페이지 UI(하동민) 12/23-12/24 </v>
      </c>
      <c r="AJ32" s="236"/>
      <c r="AK32" s="236"/>
      <c r="AL32" s="236"/>
      <c r="AM32" s="236"/>
    </row>
    <row r="33" spans="1:39" outlineLevel="2">
      <c r="A33" s="189"/>
      <c r="B33" s="189"/>
      <c r="C33" s="189">
        <v>3</v>
      </c>
      <c r="D33" s="201" t="s">
        <v>1432</v>
      </c>
      <c r="E33" s="190"/>
      <c r="F33" s="190"/>
      <c r="G33" s="190" t="s">
        <v>1424</v>
      </c>
      <c r="H33" s="190"/>
      <c r="I33" s="190"/>
      <c r="J33" s="190"/>
      <c r="K33" s="190"/>
      <c r="L33" s="190"/>
      <c r="M33" s="190"/>
      <c r="N33" s="190"/>
      <c r="O33" s="190"/>
      <c r="P33" s="191">
        <v>43822</v>
      </c>
      <c r="Q33" s="191">
        <v>43825</v>
      </c>
      <c r="R33" s="193"/>
      <c r="S33" s="194">
        <v>3</v>
      </c>
      <c r="T33" s="194">
        <v>3</v>
      </c>
      <c r="U33" s="192">
        <v>3</v>
      </c>
      <c r="V33" s="192">
        <v>3</v>
      </c>
      <c r="W33" s="191"/>
      <c r="X33" s="191"/>
      <c r="Y33" s="195"/>
      <c r="Z33" s="196">
        <v>0</v>
      </c>
      <c r="AA33" s="197">
        <v>1</v>
      </c>
      <c r="AB33" s="238" t="s">
        <v>1392</v>
      </c>
      <c r="AC33" s="198"/>
      <c r="AD33" s="199">
        <v>1</v>
      </c>
      <c r="AE33" s="200">
        <v>1</v>
      </c>
      <c r="AF33" s="235"/>
      <c r="AG33" s="236"/>
      <c r="AH33" s="236"/>
      <c r="AI33" s="236" t="str">
        <f>"     " &amp; TEXT(AE33,"#0.00%") &amp; " " &amp; "봉사자페이지 UI" &amp; "(안동규)" &amp; " " &amp; IF(P33="","",TEXT(P33,"M/D-")) &amp; IF(Q33="","",TEXT(Q33,"M/D")) &amp; " "</f>
        <v xml:space="preserve">     100.00% 봉사자페이지 UI(안동규) 12/23-12/26 </v>
      </c>
      <c r="AJ33" s="236"/>
      <c r="AK33" s="236"/>
      <c r="AL33" s="236"/>
      <c r="AM33" s="236"/>
    </row>
    <row r="34" spans="1:39" outlineLevel="2">
      <c r="A34" s="189"/>
      <c r="B34" s="189"/>
      <c r="C34" s="189">
        <v>3</v>
      </c>
      <c r="D34" s="201" t="s">
        <v>1433</v>
      </c>
      <c r="E34" s="190"/>
      <c r="F34" s="190"/>
      <c r="G34" s="190" t="s">
        <v>1425</v>
      </c>
      <c r="H34" s="190"/>
      <c r="I34" s="190"/>
      <c r="J34" s="190"/>
      <c r="K34" s="190"/>
      <c r="L34" s="190"/>
      <c r="M34" s="190"/>
      <c r="N34" s="190"/>
      <c r="O34" s="190"/>
      <c r="P34" s="191">
        <v>43822</v>
      </c>
      <c r="Q34" s="191">
        <v>43825</v>
      </c>
      <c r="R34" s="193"/>
      <c r="S34" s="194">
        <v>3</v>
      </c>
      <c r="T34" s="194">
        <v>3</v>
      </c>
      <c r="U34" s="192">
        <v>3</v>
      </c>
      <c r="V34" s="192">
        <v>3</v>
      </c>
      <c r="W34" s="191"/>
      <c r="X34" s="191"/>
      <c r="Y34" s="195"/>
      <c r="Z34" s="196">
        <v>0</v>
      </c>
      <c r="AA34" s="197">
        <v>1</v>
      </c>
      <c r="AB34" s="238" t="s">
        <v>1406</v>
      </c>
      <c r="AC34" s="198"/>
      <c r="AD34" s="199">
        <v>1</v>
      </c>
      <c r="AE34" s="200">
        <v>1</v>
      </c>
      <c r="AF34" s="235"/>
      <c r="AG34" s="236"/>
      <c r="AH34" s="236"/>
      <c r="AI34" s="236" t="str">
        <f>"     " &amp; TEXT(AE34,"#0.00%") &amp; " " &amp; "장애인페이지 UI" &amp; "(권병준)" &amp; " " &amp; IF(P34="","",TEXT(P34,"M/D-")) &amp; IF(Q34="","",TEXT(Q34,"M/D")) &amp; " "</f>
        <v xml:space="preserve">     100.00% 장애인페이지 UI(권병준) 12/23-12/26 </v>
      </c>
      <c r="AJ34" s="236"/>
      <c r="AK34" s="236"/>
      <c r="AL34" s="236"/>
      <c r="AM34" s="236"/>
    </row>
    <row r="35" spans="1:39" outlineLevel="2">
      <c r="A35" s="189"/>
      <c r="B35" s="189"/>
      <c r="C35" s="189">
        <v>3</v>
      </c>
      <c r="D35" s="201" t="s">
        <v>1434</v>
      </c>
      <c r="E35" s="190"/>
      <c r="F35" s="190"/>
      <c r="G35" s="190" t="s">
        <v>1426</v>
      </c>
      <c r="H35" s="190"/>
      <c r="I35" s="190"/>
      <c r="J35" s="190"/>
      <c r="K35" s="190"/>
      <c r="L35" s="190"/>
      <c r="M35" s="190"/>
      <c r="N35" s="190"/>
      <c r="O35" s="190"/>
      <c r="P35" s="191">
        <v>43825</v>
      </c>
      <c r="Q35" s="191">
        <v>43826</v>
      </c>
      <c r="R35" s="193"/>
      <c r="S35" s="194">
        <v>2</v>
      </c>
      <c r="T35" s="194">
        <v>2</v>
      </c>
      <c r="U35" s="192">
        <v>2</v>
      </c>
      <c r="V35" s="192">
        <v>2</v>
      </c>
      <c r="W35" s="191"/>
      <c r="X35" s="191"/>
      <c r="Y35" s="195"/>
      <c r="Z35" s="196">
        <v>0</v>
      </c>
      <c r="AA35" s="197">
        <v>1</v>
      </c>
      <c r="AB35" s="238" t="s">
        <v>1406</v>
      </c>
      <c r="AC35" s="198"/>
      <c r="AD35" s="199">
        <v>1</v>
      </c>
      <c r="AE35" s="200">
        <v>1</v>
      </c>
      <c r="AF35" s="235"/>
      <c r="AG35" s="236"/>
      <c r="AH35" s="236"/>
      <c r="AI35" s="236" t="str">
        <f>"      " &amp; TEXT(AE35,"#0.00%") &amp; " " &amp; "에러페이지 제작" &amp; "(권병준)" &amp; " " &amp; IF(P35="","",TEXT(P35,"M/D-")) &amp; IF(Q35="","",TEXT(Q35,"M/D")) &amp; " "</f>
        <v xml:space="preserve">      100.00% 에러페이지 제작(권병준) 12/26-12/27 </v>
      </c>
      <c r="AJ35" s="236"/>
      <c r="AK35" s="236"/>
      <c r="AL35" s="236"/>
      <c r="AM35" s="236"/>
    </row>
    <row r="36" spans="1:39" outlineLevel="2">
      <c r="A36" s="189"/>
      <c r="B36" s="189"/>
      <c r="C36" s="189">
        <v>3</v>
      </c>
      <c r="D36" s="201" t="s">
        <v>1435</v>
      </c>
      <c r="E36" s="190"/>
      <c r="F36" s="190"/>
      <c r="G36" s="190" t="s">
        <v>1427</v>
      </c>
      <c r="H36" s="190"/>
      <c r="I36" s="190"/>
      <c r="J36" s="190"/>
      <c r="K36" s="190"/>
      <c r="L36" s="190"/>
      <c r="M36" s="190"/>
      <c r="N36" s="190"/>
      <c r="O36" s="190"/>
      <c r="P36" s="191">
        <v>43825</v>
      </c>
      <c r="Q36" s="191">
        <v>43826</v>
      </c>
      <c r="R36" s="193"/>
      <c r="S36" s="194">
        <v>2</v>
      </c>
      <c r="T36" s="194">
        <v>2</v>
      </c>
      <c r="U36" s="192">
        <v>2</v>
      </c>
      <c r="V36" s="192">
        <v>2</v>
      </c>
      <c r="W36" s="191"/>
      <c r="X36" s="191"/>
      <c r="Y36" s="195"/>
      <c r="Z36" s="196">
        <v>0</v>
      </c>
      <c r="AA36" s="197">
        <v>1</v>
      </c>
      <c r="AB36" s="193" t="s">
        <v>1398</v>
      </c>
      <c r="AC36" s="198"/>
      <c r="AD36" s="199">
        <v>1</v>
      </c>
      <c r="AE36" s="200">
        <v>1</v>
      </c>
      <c r="AF36" s="235"/>
      <c r="AG36" s="236"/>
      <c r="AH36" s="236"/>
      <c r="AI36" s="236" t="str">
        <f>"      " &amp; TEXT(AE36,"#0.00%") &amp; " " &amp; "지도 유효성 검사" &amp; "(하동민,권병준)" &amp; " " &amp; IF(P36="","",TEXT(P36,"M/D-")) &amp; IF(Q36="","",TEXT(Q36,"M/D")) &amp; " "</f>
        <v xml:space="preserve">      100.00% 지도 유효성 검사(하동민,권병준) 12/26-12/27 </v>
      </c>
      <c r="AJ36" s="236"/>
      <c r="AK36" s="236"/>
      <c r="AL36" s="236"/>
      <c r="AM36" s="236"/>
    </row>
    <row r="37" spans="1:39" outlineLevel="1">
      <c r="A37" s="189"/>
      <c r="B37" s="189" t="s">
        <v>1262</v>
      </c>
      <c r="C37" s="189">
        <v>2</v>
      </c>
      <c r="D37" s="201" t="s">
        <v>1436</v>
      </c>
      <c r="E37" s="190"/>
      <c r="F37" s="190" t="s">
        <v>1428</v>
      </c>
      <c r="G37" s="190"/>
      <c r="H37" s="190"/>
      <c r="I37" s="190"/>
      <c r="J37" s="190"/>
      <c r="K37" s="190"/>
      <c r="L37" s="190"/>
      <c r="M37" s="190"/>
      <c r="N37" s="190"/>
      <c r="O37" s="190"/>
      <c r="P37" s="191">
        <v>43822</v>
      </c>
      <c r="Q37" s="191">
        <v>43826</v>
      </c>
      <c r="R37" s="193"/>
      <c r="S37" s="194">
        <v>6</v>
      </c>
      <c r="T37" s="194">
        <v>6</v>
      </c>
      <c r="U37" s="192">
        <v>4</v>
      </c>
      <c r="V37" s="192">
        <v>4</v>
      </c>
      <c r="W37" s="191"/>
      <c r="X37" s="191"/>
      <c r="Y37" s="195">
        <v>0</v>
      </c>
      <c r="Z37" s="196">
        <v>0</v>
      </c>
      <c r="AA37" s="197"/>
      <c r="AB37" s="193"/>
      <c r="AC37" s="198"/>
      <c r="AD37" s="199">
        <v>1</v>
      </c>
      <c r="AE37" s="200">
        <v>1</v>
      </c>
      <c r="AF37" s="235"/>
      <c r="AG37" s="236"/>
      <c r="AH37" s="236"/>
      <c r="AI37" s="236" t="str">
        <f>"      " &amp; TEXT(AE37,"#0.00%") &amp; " " &amp; "오류 수정" &amp; " " &amp; IF(P37="","",TEXT(P37,"M/D-")) &amp; IF(Q37="","",TEXT(Q37,"M/D")) &amp; " "</f>
        <v xml:space="preserve">      100.00% 오류 수정 12/23-12/27 </v>
      </c>
      <c r="AJ37" s="236"/>
      <c r="AK37" s="236"/>
      <c r="AL37" s="236"/>
      <c r="AM37" s="236"/>
    </row>
    <row r="38" spans="1:39" outlineLevel="2">
      <c r="A38" s="189"/>
      <c r="B38" s="189"/>
      <c r="C38" s="189">
        <v>3</v>
      </c>
      <c r="D38" s="201" t="s">
        <v>1437</v>
      </c>
      <c r="E38" s="190"/>
      <c r="F38" s="190"/>
      <c r="G38" s="190" t="s">
        <v>1440</v>
      </c>
      <c r="H38" s="190"/>
      <c r="I38" s="190"/>
      <c r="J38" s="190"/>
      <c r="K38" s="190"/>
      <c r="L38" s="190"/>
      <c r="M38" s="190"/>
      <c r="N38" s="190"/>
      <c r="O38" s="190"/>
      <c r="P38" s="191">
        <v>43822</v>
      </c>
      <c r="Q38" s="191">
        <v>43823</v>
      </c>
      <c r="R38" s="193"/>
      <c r="S38" s="194">
        <v>2</v>
      </c>
      <c r="T38" s="194">
        <v>2</v>
      </c>
      <c r="U38" s="192">
        <v>2</v>
      </c>
      <c r="V38" s="192">
        <v>2</v>
      </c>
      <c r="W38" s="191"/>
      <c r="X38" s="191"/>
      <c r="Y38" s="195"/>
      <c r="Z38" s="196">
        <v>0</v>
      </c>
      <c r="AA38" s="197">
        <v>1</v>
      </c>
      <c r="AB38" s="238" t="s">
        <v>1406</v>
      </c>
      <c r="AC38" s="198"/>
      <c r="AD38" s="199">
        <v>1</v>
      </c>
      <c r="AE38" s="239">
        <v>1</v>
      </c>
      <c r="AF38" s="235"/>
      <c r="AG38" s="236"/>
      <c r="AH38" s="236"/>
      <c r="AI38" s="236" t="str">
        <f>"   " &amp; TEXT(AE38,"#0.00%") &amp; " " &amp; "장애인화면 Filter기능 수정" &amp; "(권병준)" &amp; " " &amp; IF(P38="","",TEXT(P38,"M/D-")) &amp; IF(Q38="","",TEXT(Q38,"M/D")) &amp; " "</f>
        <v xml:space="preserve">   100.00% 장애인화면 Filter기능 수정(권병준) 12/23-12/24 </v>
      </c>
      <c r="AJ38" s="236"/>
      <c r="AK38" s="236"/>
      <c r="AL38" s="236"/>
      <c r="AM38" s="236"/>
    </row>
    <row r="39" spans="1:39" outlineLevel="2">
      <c r="A39" s="189"/>
      <c r="B39" s="189"/>
      <c r="C39" s="189">
        <v>3</v>
      </c>
      <c r="D39" s="201" t="s">
        <v>1438</v>
      </c>
      <c r="E39" s="190"/>
      <c r="F39" s="190"/>
      <c r="G39" s="190" t="s">
        <v>1429</v>
      </c>
      <c r="H39" s="190"/>
      <c r="I39" s="190"/>
      <c r="J39" s="190"/>
      <c r="K39" s="190"/>
      <c r="L39" s="190"/>
      <c r="M39" s="190"/>
      <c r="N39" s="190"/>
      <c r="O39" s="190"/>
      <c r="P39" s="191">
        <v>43825</v>
      </c>
      <c r="Q39" s="191">
        <v>43826</v>
      </c>
      <c r="R39" s="193"/>
      <c r="S39" s="194">
        <v>2</v>
      </c>
      <c r="T39" s="194">
        <v>2</v>
      </c>
      <c r="U39" s="192">
        <v>2</v>
      </c>
      <c r="V39" s="192">
        <v>2</v>
      </c>
      <c r="W39" s="191"/>
      <c r="X39" s="191"/>
      <c r="Y39" s="195"/>
      <c r="Z39" s="196">
        <v>0</v>
      </c>
      <c r="AA39" s="197">
        <v>1</v>
      </c>
      <c r="AB39" s="238" t="s">
        <v>1392</v>
      </c>
      <c r="AC39" s="198"/>
      <c r="AD39" s="199">
        <v>1</v>
      </c>
      <c r="AE39" s="239">
        <v>1</v>
      </c>
      <c r="AF39" s="235"/>
      <c r="AG39" s="236"/>
      <c r="AH39" s="236"/>
      <c r="AI39" s="236" t="str">
        <f>"      " &amp; TEXT(AE39,"#0.00%") &amp; " " &amp; "그래프 시각화 데이터 오류 수정" &amp; "(안동규)" &amp; " " &amp; IF(P39="","",TEXT(P39,"M/D-")) &amp; IF(Q39="","",TEXT(Q39,"M/D")) &amp; " "</f>
        <v xml:space="preserve">      100.00% 그래프 시각화 데이터 오류 수정(안동규) 12/26-12/27 </v>
      </c>
      <c r="AJ39" s="236"/>
      <c r="AK39" s="236"/>
      <c r="AL39" s="236"/>
      <c r="AM39" s="236"/>
    </row>
    <row r="40" spans="1:39" outlineLevel="2">
      <c r="A40" s="189"/>
      <c r="B40" s="189"/>
      <c r="C40" s="189">
        <v>3</v>
      </c>
      <c r="D40" s="201" t="s">
        <v>1439</v>
      </c>
      <c r="E40" s="190"/>
      <c r="F40" s="190"/>
      <c r="G40" s="190" t="s">
        <v>1441</v>
      </c>
      <c r="H40" s="190"/>
      <c r="I40" s="190"/>
      <c r="J40" s="190"/>
      <c r="K40" s="190"/>
      <c r="L40" s="190"/>
      <c r="M40" s="190"/>
      <c r="N40" s="190"/>
      <c r="O40" s="190"/>
      <c r="P40" s="191">
        <v>43825</v>
      </c>
      <c r="Q40" s="191">
        <v>43826</v>
      </c>
      <c r="R40" s="193"/>
      <c r="S40" s="194">
        <v>2</v>
      </c>
      <c r="T40" s="194">
        <v>2</v>
      </c>
      <c r="U40" s="192">
        <v>2</v>
      </c>
      <c r="V40" s="192">
        <v>2</v>
      </c>
      <c r="W40" s="191"/>
      <c r="X40" s="191"/>
      <c r="Y40" s="195"/>
      <c r="Z40" s="196">
        <v>0</v>
      </c>
      <c r="AA40" s="197">
        <v>1</v>
      </c>
      <c r="AB40" s="238" t="s">
        <v>1406</v>
      </c>
      <c r="AC40" s="198"/>
      <c r="AD40" s="199">
        <v>1</v>
      </c>
      <c r="AE40" s="239">
        <v>1</v>
      </c>
      <c r="AF40" s="235"/>
      <c r="AG40" s="236"/>
      <c r="AH40" s="236"/>
      <c r="AI40" s="236" t="str">
        <f>"      " &amp; TEXT(AE40,"#0.00%") &amp; " " &amp; "Javascript 코드 간소화" &amp; "(권병준)" &amp; " " &amp; IF(P40="","",TEXT(P40,"M/D-")) &amp; IF(Q40="","",TEXT(Q40,"M/D")) &amp; " "</f>
        <v xml:space="preserve">      100.00% Javascript 코드 간소화(권병준) 12/26-12/27 </v>
      </c>
      <c r="AJ40" s="236"/>
      <c r="AK40" s="236"/>
      <c r="AL40" s="236"/>
      <c r="AM40" s="236"/>
    </row>
    <row r="41" spans="1:39">
      <c r="A41" s="189"/>
      <c r="B41" s="189" t="s">
        <v>1262</v>
      </c>
      <c r="C41" s="189">
        <v>1</v>
      </c>
      <c r="D41" s="201" t="s">
        <v>1168</v>
      </c>
      <c r="E41" s="190" t="s">
        <v>1446</v>
      </c>
      <c r="F41" s="190"/>
      <c r="G41" s="190"/>
      <c r="H41" s="190"/>
      <c r="I41" s="190"/>
      <c r="J41" s="190"/>
      <c r="K41" s="190"/>
      <c r="L41" s="190"/>
      <c r="M41" s="190"/>
      <c r="N41" s="190"/>
      <c r="O41" s="190"/>
      <c r="P41" s="191">
        <v>43829</v>
      </c>
      <c r="Q41" s="191">
        <v>43833</v>
      </c>
      <c r="R41" s="193"/>
      <c r="S41" s="194">
        <v>8</v>
      </c>
      <c r="T41" s="194">
        <v>8</v>
      </c>
      <c r="U41" s="192">
        <v>4</v>
      </c>
      <c r="V41" s="192">
        <v>4</v>
      </c>
      <c r="W41" s="191"/>
      <c r="X41" s="191"/>
      <c r="Y41" s="195">
        <v>0</v>
      </c>
      <c r="Z41" s="196">
        <v>0</v>
      </c>
      <c r="AA41" s="197"/>
      <c r="AB41" s="193"/>
      <c r="AC41" s="198"/>
      <c r="AD41" s="199">
        <v>1</v>
      </c>
      <c r="AE41" s="200">
        <v>1</v>
      </c>
      <c r="AF41" s="235"/>
      <c r="AG41" s="236"/>
      <c r="AH41" s="236"/>
      <c r="AI41" s="236"/>
      <c r="AJ41" s="236" t="str">
        <f>"      " &amp; TEXT(AE41,"#0.00%") &amp; " " &amp; "5주차 프로젝트 회의" &amp; " " &amp; IF(P41="","",TEXT(P41,"M/D-")) &amp; IF(Q41="","",TEXT(Q41,"M/D")) &amp; " "</f>
        <v xml:space="preserve">      100.00% 5주차 프로젝트 회의 12/30-1/3 </v>
      </c>
      <c r="AK41" s="236"/>
      <c r="AL41" s="236"/>
      <c r="AM41" s="236"/>
    </row>
    <row r="42" spans="1:39" outlineLevel="1">
      <c r="A42" s="189"/>
      <c r="B42" s="189" t="s">
        <v>1262</v>
      </c>
      <c r="C42" s="189">
        <v>2</v>
      </c>
      <c r="D42" s="201" t="s">
        <v>1452</v>
      </c>
      <c r="E42" s="190"/>
      <c r="F42" s="237" t="s">
        <v>1442</v>
      </c>
      <c r="G42" s="190"/>
      <c r="H42" s="190"/>
      <c r="I42" s="190"/>
      <c r="J42" s="190"/>
      <c r="K42" s="190"/>
      <c r="L42" s="190"/>
      <c r="M42" s="190"/>
      <c r="N42" s="190"/>
      <c r="O42" s="190"/>
      <c r="P42" s="191">
        <v>43829</v>
      </c>
      <c r="Q42" s="191">
        <v>43833</v>
      </c>
      <c r="R42" s="193"/>
      <c r="S42" s="194">
        <v>8</v>
      </c>
      <c r="T42" s="194">
        <v>8</v>
      </c>
      <c r="U42" s="192">
        <v>4</v>
      </c>
      <c r="V42" s="192">
        <v>4</v>
      </c>
      <c r="W42" s="191"/>
      <c r="X42" s="191"/>
      <c r="Y42" s="195">
        <v>0</v>
      </c>
      <c r="Z42" s="196">
        <v>0</v>
      </c>
      <c r="AA42" s="197"/>
      <c r="AB42" s="193"/>
      <c r="AC42" s="198"/>
      <c r="AD42" s="199">
        <v>1</v>
      </c>
      <c r="AE42" s="200">
        <v>1</v>
      </c>
      <c r="AF42" s="235"/>
      <c r="AG42" s="236"/>
      <c r="AH42" s="236"/>
      <c r="AI42" s="236"/>
      <c r="AJ42" s="236" t="str">
        <f>"      " &amp; TEXT(AE42,"#0.00%") &amp; " " &amp; "유지보수" &amp; " " &amp; IF(P42="","",TEXT(P42,"M/D-")) &amp; IF(Q42="","",TEXT(Q42,"M/D")) &amp; " "</f>
        <v xml:space="preserve">      100.00% 유지보수 12/30-1/3 </v>
      </c>
      <c r="AK42" s="236"/>
      <c r="AL42" s="236"/>
      <c r="AM42" s="236"/>
    </row>
    <row r="43" spans="1:39" outlineLevel="2">
      <c r="A43" s="189"/>
      <c r="B43" s="189"/>
      <c r="C43" s="189">
        <v>3</v>
      </c>
      <c r="D43" s="201" t="s">
        <v>1453</v>
      </c>
      <c r="E43" s="190"/>
      <c r="F43" s="190"/>
      <c r="G43" s="190" t="s">
        <v>1447</v>
      </c>
      <c r="H43" s="190"/>
      <c r="I43" s="190"/>
      <c r="J43" s="190"/>
      <c r="K43" s="190"/>
      <c r="L43" s="190"/>
      <c r="M43" s="190"/>
      <c r="N43" s="190"/>
      <c r="O43" s="190"/>
      <c r="P43" s="191">
        <v>43829</v>
      </c>
      <c r="Q43" s="191">
        <v>43830</v>
      </c>
      <c r="R43" s="193"/>
      <c r="S43" s="194">
        <v>2</v>
      </c>
      <c r="T43" s="194">
        <v>2</v>
      </c>
      <c r="U43" s="192">
        <v>2</v>
      </c>
      <c r="V43" s="192">
        <v>2</v>
      </c>
      <c r="W43" s="191"/>
      <c r="X43" s="191"/>
      <c r="Y43" s="195"/>
      <c r="Z43" s="196">
        <v>0</v>
      </c>
      <c r="AA43" s="197">
        <v>1</v>
      </c>
      <c r="AB43" s="193" t="s">
        <v>1448</v>
      </c>
      <c r="AC43" s="198"/>
      <c r="AD43" s="199">
        <v>1</v>
      </c>
      <c r="AE43" s="200">
        <v>1</v>
      </c>
      <c r="AF43" s="235"/>
      <c r="AG43" s="236"/>
      <c r="AH43" s="236"/>
      <c r="AI43" s="236"/>
      <c r="AJ43" s="236" t="str">
        <f>"   " &amp; TEXT(AE43,"#0.00%") &amp; " " &amp; "게시판 페이지 UI 수정" &amp; "(권병준,하동민)" &amp; " " &amp; IF(P43="","",TEXT(P43,"M/D-")) &amp; IF(Q43="","",TEXT(Q43,"M/D")) &amp; " "</f>
        <v xml:space="preserve">   100.00% 게시판 페이지 UI 수정(권병준,하동민) 12/30-12/31 </v>
      </c>
      <c r="AK43" s="236"/>
      <c r="AL43" s="236"/>
      <c r="AM43" s="236"/>
    </row>
    <row r="44" spans="1:39" outlineLevel="2">
      <c r="A44" s="189"/>
      <c r="B44" s="189"/>
      <c r="C44" s="189">
        <v>3</v>
      </c>
      <c r="D44" s="201" t="s">
        <v>1454</v>
      </c>
      <c r="E44" s="190"/>
      <c r="F44" s="190"/>
      <c r="G44" s="190" t="s">
        <v>1449</v>
      </c>
      <c r="H44" s="190"/>
      <c r="I44" s="190"/>
      <c r="J44" s="190"/>
      <c r="K44" s="190"/>
      <c r="L44" s="190"/>
      <c r="M44" s="190"/>
      <c r="N44" s="190"/>
      <c r="O44" s="190"/>
      <c r="P44" s="191">
        <v>43829</v>
      </c>
      <c r="Q44" s="191">
        <v>43830</v>
      </c>
      <c r="R44" s="193"/>
      <c r="S44" s="194">
        <v>2</v>
      </c>
      <c r="T44" s="194">
        <v>2</v>
      </c>
      <c r="U44" s="192">
        <v>2</v>
      </c>
      <c r="V44" s="192">
        <v>2</v>
      </c>
      <c r="W44" s="191"/>
      <c r="X44" s="191"/>
      <c r="Y44" s="195"/>
      <c r="Z44" s="196">
        <v>0</v>
      </c>
      <c r="AA44" s="197">
        <v>1</v>
      </c>
      <c r="AB44" s="238" t="s">
        <v>1443</v>
      </c>
      <c r="AC44" s="198"/>
      <c r="AD44" s="199">
        <v>1</v>
      </c>
      <c r="AE44" s="200">
        <v>1</v>
      </c>
      <c r="AF44" s="235"/>
      <c r="AG44" s="236"/>
      <c r="AH44" s="236"/>
      <c r="AI44" s="236"/>
      <c r="AJ44" s="236" t="str">
        <f>"   " &amp; TEXT(AE44,"#0.00%") &amp; " " &amp; "장애인 페이지 UI 수정" &amp; "(안동규,권병준)" &amp; " " &amp; IF(P44="","",TEXT(P44,"M/D-")) &amp; IF(Q44="","",TEXT(Q44,"M/D")) &amp; " "</f>
        <v xml:space="preserve">   100.00% 장애인 페이지 UI 수정(안동규,권병준) 12/30-12/31 </v>
      </c>
      <c r="AK44" s="236"/>
      <c r="AL44" s="236"/>
      <c r="AM44" s="236"/>
    </row>
    <row r="45" spans="1:39" outlineLevel="2">
      <c r="A45" s="189"/>
      <c r="B45" s="189"/>
      <c r="C45" s="189">
        <v>3</v>
      </c>
      <c r="D45" s="201" t="s">
        <v>1455</v>
      </c>
      <c r="E45" s="190"/>
      <c r="F45" s="190"/>
      <c r="G45" s="190" t="s">
        <v>1450</v>
      </c>
      <c r="H45" s="190"/>
      <c r="I45" s="190"/>
      <c r="J45" s="190"/>
      <c r="K45" s="190"/>
      <c r="L45" s="190"/>
      <c r="M45" s="190"/>
      <c r="N45" s="190"/>
      <c r="O45" s="190"/>
      <c r="P45" s="191">
        <v>43832</v>
      </c>
      <c r="Q45" s="191">
        <v>43833</v>
      </c>
      <c r="R45" s="193"/>
      <c r="S45" s="194">
        <v>2</v>
      </c>
      <c r="T45" s="194">
        <v>2</v>
      </c>
      <c r="U45" s="192">
        <v>2</v>
      </c>
      <c r="V45" s="192">
        <v>2</v>
      </c>
      <c r="W45" s="191"/>
      <c r="X45" s="191"/>
      <c r="Y45" s="195"/>
      <c r="Z45" s="196">
        <v>0</v>
      </c>
      <c r="AA45" s="197">
        <v>1</v>
      </c>
      <c r="AB45" s="238" t="s">
        <v>1443</v>
      </c>
      <c r="AC45" s="198"/>
      <c r="AD45" s="199">
        <v>1</v>
      </c>
      <c r="AE45" s="200">
        <v>1</v>
      </c>
      <c r="AF45" s="235"/>
      <c r="AG45" s="236"/>
      <c r="AH45" s="236"/>
      <c r="AI45" s="236"/>
      <c r="AJ45" s="236" t="str">
        <f>"      " &amp; TEXT(AE45,"#0.00%") &amp; " " &amp; "Controller 공통부분 수정" &amp; "(안동규,권병준)" &amp; " " &amp; IF(P45="","",TEXT(P45,"M/D-")) &amp; IF(Q45="","",TEXT(Q45,"M/D")) &amp; " "</f>
        <v xml:space="preserve">      100.00% Controller 공통부분 수정(안동규,권병준) 1/2-1/3 </v>
      </c>
      <c r="AK45" s="236"/>
      <c r="AL45" s="236"/>
      <c r="AM45" s="236"/>
    </row>
    <row r="46" spans="1:39" outlineLevel="2">
      <c r="A46" s="189"/>
      <c r="B46" s="189"/>
      <c r="C46" s="189">
        <v>3</v>
      </c>
      <c r="D46" s="201" t="s">
        <v>1456</v>
      </c>
      <c r="E46" s="190"/>
      <c r="F46" s="190"/>
      <c r="G46" s="190" t="s">
        <v>1451</v>
      </c>
      <c r="H46" s="190"/>
      <c r="I46" s="190"/>
      <c r="J46" s="190"/>
      <c r="K46" s="190"/>
      <c r="L46" s="190"/>
      <c r="M46" s="190"/>
      <c r="N46" s="190"/>
      <c r="O46" s="190"/>
      <c r="P46" s="191">
        <v>43832</v>
      </c>
      <c r="Q46" s="191">
        <v>43833</v>
      </c>
      <c r="R46" s="193"/>
      <c r="S46" s="194">
        <v>2</v>
      </c>
      <c r="T46" s="194">
        <v>2</v>
      </c>
      <c r="U46" s="192">
        <v>2</v>
      </c>
      <c r="V46" s="192">
        <v>2</v>
      </c>
      <c r="W46" s="191"/>
      <c r="X46" s="191"/>
      <c r="Y46" s="195"/>
      <c r="Z46" s="196">
        <v>0</v>
      </c>
      <c r="AA46" s="197">
        <v>1</v>
      </c>
      <c r="AB46" s="238" t="s">
        <v>1444</v>
      </c>
      <c r="AC46" s="198"/>
      <c r="AD46" s="199">
        <v>1</v>
      </c>
      <c r="AE46" s="200">
        <v>1</v>
      </c>
      <c r="AF46" s="235"/>
      <c r="AG46" s="236"/>
      <c r="AH46" s="236"/>
      <c r="AI46" s="236"/>
      <c r="AJ46" s="236" t="str">
        <f>"      " &amp; TEXT(AE46,"#0.00%") &amp; " " &amp; "기부하기 페이지 UI 수정" &amp; "(하동민,안동규)" &amp; " " &amp; IF(P46="","",TEXT(P46,"M/D-")) &amp; IF(Q46="","",TEXT(Q46,"M/D")) &amp; " "</f>
        <v xml:space="preserve">      100.00% 기부하기 페이지 UI 수정(하동민,안동규) 1/2-1/3 </v>
      </c>
      <c r="AK46" s="236"/>
      <c r="AL46" s="236"/>
      <c r="AM46" s="236"/>
    </row>
    <row r="47" spans="1:39">
      <c r="A47" s="189"/>
      <c r="B47" s="189" t="s">
        <v>1262</v>
      </c>
      <c r="C47" s="189">
        <v>1</v>
      </c>
      <c r="D47" s="201" t="s">
        <v>1169</v>
      </c>
      <c r="E47" s="190" t="s">
        <v>1457</v>
      </c>
      <c r="F47" s="190"/>
      <c r="G47" s="190"/>
      <c r="H47" s="190"/>
      <c r="I47" s="190"/>
      <c r="J47" s="190"/>
      <c r="K47" s="190"/>
      <c r="L47" s="190"/>
      <c r="M47" s="190"/>
      <c r="N47" s="190"/>
      <c r="O47" s="190"/>
      <c r="P47" s="191">
        <v>43836</v>
      </c>
      <c r="Q47" s="191">
        <v>43840</v>
      </c>
      <c r="R47" s="193"/>
      <c r="S47" s="194">
        <v>26</v>
      </c>
      <c r="T47" s="194">
        <v>26</v>
      </c>
      <c r="U47" s="192">
        <v>5</v>
      </c>
      <c r="V47" s="192">
        <v>5</v>
      </c>
      <c r="W47" s="191"/>
      <c r="X47" s="191"/>
      <c r="Y47" s="195">
        <v>0</v>
      </c>
      <c r="Z47" s="196">
        <v>0</v>
      </c>
      <c r="AA47" s="197"/>
      <c r="AB47" s="193"/>
      <c r="AC47" s="198"/>
      <c r="AD47" s="199">
        <v>1</v>
      </c>
      <c r="AE47" s="200">
        <v>0.92307692307692313</v>
      </c>
      <c r="AF47" s="235"/>
      <c r="AG47" s="236"/>
      <c r="AH47" s="236"/>
      <c r="AI47" s="236"/>
      <c r="AJ47" s="236"/>
      <c r="AK47" s="236" t="str">
        <f>"      " &amp; TEXT(AE47,"#0.00%") &amp; " " &amp; "6주차 프로젝트 회의" &amp; " " &amp; IF(P47="","",TEXT(P47,"M/D-")) &amp; IF(Q47="","",TEXT(Q47,"M/D")) &amp; " "</f>
        <v xml:space="preserve">      92.31% 6주차 프로젝트 회의 1/6-1/10 </v>
      </c>
      <c r="AL47" s="236"/>
      <c r="AM47" s="236"/>
    </row>
    <row r="48" spans="1:39" outlineLevel="1">
      <c r="A48" s="189"/>
      <c r="B48" s="189" t="s">
        <v>1262</v>
      </c>
      <c r="C48" s="189">
        <v>2</v>
      </c>
      <c r="D48" s="201" t="s">
        <v>1467</v>
      </c>
      <c r="E48" s="190"/>
      <c r="F48" s="237" t="s">
        <v>1187</v>
      </c>
      <c r="G48" s="190"/>
      <c r="H48" s="190"/>
      <c r="I48" s="190"/>
      <c r="J48" s="190"/>
      <c r="K48" s="190"/>
      <c r="L48" s="190"/>
      <c r="M48" s="190"/>
      <c r="N48" s="190"/>
      <c r="O48" s="190"/>
      <c r="P48" s="191">
        <v>43836</v>
      </c>
      <c r="Q48" s="191">
        <v>43839</v>
      </c>
      <c r="R48" s="193"/>
      <c r="S48" s="194">
        <v>10</v>
      </c>
      <c r="T48" s="194">
        <v>10</v>
      </c>
      <c r="U48" s="192">
        <v>4</v>
      </c>
      <c r="V48" s="192">
        <v>4</v>
      </c>
      <c r="W48" s="191"/>
      <c r="X48" s="191"/>
      <c r="Y48" s="195">
        <v>0</v>
      </c>
      <c r="Z48" s="196">
        <v>0</v>
      </c>
      <c r="AA48" s="197"/>
      <c r="AB48" s="193"/>
      <c r="AC48" s="198"/>
      <c r="AD48" s="199">
        <v>1</v>
      </c>
      <c r="AE48" s="200">
        <v>0.8</v>
      </c>
      <c r="AF48" s="235"/>
      <c r="AG48" s="236"/>
      <c r="AH48" s="236"/>
      <c r="AI48" s="236"/>
      <c r="AJ48" s="236"/>
      <c r="AK48" s="236" t="str">
        <f>"    " &amp; TEXT(AE48,"#0.00%") &amp; " " &amp; "개발" &amp; " " &amp; IF(P48="","",TEXT(P48,"M/D-")) &amp; IF(Q48="","",TEXT(Q48,"M/D")) &amp; " "</f>
        <v xml:space="preserve">    80.00% 개발 1/6-1/9 </v>
      </c>
      <c r="AL48" s="236"/>
      <c r="AM48" s="236"/>
    </row>
    <row r="49" spans="1:39" outlineLevel="2">
      <c r="A49" s="189"/>
      <c r="B49" s="189"/>
      <c r="C49" s="189">
        <v>3</v>
      </c>
      <c r="D49" s="201" t="s">
        <v>1468</v>
      </c>
      <c r="E49" s="190"/>
      <c r="F49" s="190"/>
      <c r="G49" s="190" t="s">
        <v>1458</v>
      </c>
      <c r="H49" s="190"/>
      <c r="I49" s="190"/>
      <c r="J49" s="190"/>
      <c r="K49" s="190"/>
      <c r="L49" s="190"/>
      <c r="M49" s="190"/>
      <c r="N49" s="190"/>
      <c r="O49" s="190"/>
      <c r="P49" s="191">
        <v>43836</v>
      </c>
      <c r="Q49" s="191">
        <v>43837</v>
      </c>
      <c r="R49" s="193"/>
      <c r="S49" s="194">
        <v>2</v>
      </c>
      <c r="T49" s="194">
        <v>2</v>
      </c>
      <c r="U49" s="192">
        <v>2</v>
      </c>
      <c r="V49" s="192">
        <v>2</v>
      </c>
      <c r="W49" s="191"/>
      <c r="X49" s="191"/>
      <c r="Y49" s="195"/>
      <c r="Z49" s="196">
        <v>0</v>
      </c>
      <c r="AA49" s="197">
        <v>1</v>
      </c>
      <c r="AB49" s="238" t="s">
        <v>1406</v>
      </c>
      <c r="AC49" s="198"/>
      <c r="AD49" s="199">
        <v>1</v>
      </c>
      <c r="AE49" s="200">
        <v>1</v>
      </c>
      <c r="AF49" s="235"/>
      <c r="AG49" s="236"/>
      <c r="AH49" s="236"/>
      <c r="AI49" s="236"/>
      <c r="AJ49" s="236"/>
      <c r="AK49" s="236" t="str">
        <f>"   " &amp; TEXT(AE49,"#0.00%") &amp; " " &amp; "게시판 유효성 검사" &amp; "(권병준)" &amp; " " &amp; IF(P49="","",TEXT(P49,"M/D-")) &amp; IF(Q49="","",TEXT(Q49,"M/D")) &amp; " "</f>
        <v xml:space="preserve">   100.00% 게시판 유효성 검사(권병준) 1/6-1/7 </v>
      </c>
      <c r="AL49" s="236"/>
      <c r="AM49" s="236"/>
    </row>
    <row r="50" spans="1:39" outlineLevel="2">
      <c r="A50" s="189"/>
      <c r="B50" s="189"/>
      <c r="C50" s="189">
        <v>3</v>
      </c>
      <c r="D50" s="201" t="s">
        <v>1469</v>
      </c>
      <c r="E50" s="190"/>
      <c r="F50" s="190"/>
      <c r="G50" s="190" t="s">
        <v>1459</v>
      </c>
      <c r="H50" s="190"/>
      <c r="I50" s="190"/>
      <c r="J50" s="190"/>
      <c r="K50" s="190"/>
      <c r="L50" s="190"/>
      <c r="M50" s="190"/>
      <c r="N50" s="190"/>
      <c r="O50" s="190"/>
      <c r="P50" s="191">
        <v>43837</v>
      </c>
      <c r="Q50" s="191">
        <v>43838</v>
      </c>
      <c r="R50" s="193"/>
      <c r="S50" s="194">
        <v>2</v>
      </c>
      <c r="T50" s="194">
        <v>2</v>
      </c>
      <c r="U50" s="192">
        <v>2</v>
      </c>
      <c r="V50" s="192">
        <v>2</v>
      </c>
      <c r="W50" s="191"/>
      <c r="X50" s="191"/>
      <c r="Y50" s="195"/>
      <c r="Z50" s="196">
        <v>0</v>
      </c>
      <c r="AA50" s="197">
        <v>1</v>
      </c>
      <c r="AB50" s="238" t="s">
        <v>1392</v>
      </c>
      <c r="AC50" s="198"/>
      <c r="AD50" s="199">
        <v>1</v>
      </c>
      <c r="AE50" s="200">
        <v>1</v>
      </c>
      <c r="AF50" s="235"/>
      <c r="AG50" s="236"/>
      <c r="AH50" s="236"/>
      <c r="AI50" s="236"/>
      <c r="AJ50" s="236"/>
      <c r="AK50" s="236" t="str">
        <f>"    " &amp; TEXT(AE50,"#0.00%") &amp; " " &amp; "지도내부 간략정보 표시 화면 UI 구현" &amp; "(안동규)" &amp; " " &amp; IF(P50="","",TEXT(P50,"M/D-")) &amp; IF(Q50="","",TEXT(Q50,"M/D")) &amp; " "</f>
        <v xml:space="preserve">    100.00% 지도내부 간략정보 표시 화면 UI 구현(안동규) 1/7-1/8 </v>
      </c>
      <c r="AL50" s="236"/>
      <c r="AM50" s="236"/>
    </row>
    <row r="51" spans="1:39" outlineLevel="2">
      <c r="A51" s="189"/>
      <c r="B51" s="189"/>
      <c r="C51" s="189">
        <v>3</v>
      </c>
      <c r="D51" s="201" t="s">
        <v>1470</v>
      </c>
      <c r="E51" s="190"/>
      <c r="F51" s="190"/>
      <c r="G51" s="190" t="s">
        <v>1460</v>
      </c>
      <c r="H51" s="190"/>
      <c r="I51" s="190"/>
      <c r="J51" s="190"/>
      <c r="K51" s="190"/>
      <c r="L51" s="190"/>
      <c r="M51" s="190"/>
      <c r="N51" s="190"/>
      <c r="O51" s="190"/>
      <c r="P51" s="191">
        <v>43837</v>
      </c>
      <c r="Q51" s="191">
        <v>43838</v>
      </c>
      <c r="R51" s="193"/>
      <c r="S51" s="194">
        <v>2</v>
      </c>
      <c r="T51" s="194">
        <v>2</v>
      </c>
      <c r="U51" s="192">
        <v>2</v>
      </c>
      <c r="V51" s="192">
        <v>2</v>
      </c>
      <c r="W51" s="191"/>
      <c r="X51" s="191"/>
      <c r="Y51" s="195"/>
      <c r="Z51" s="196">
        <v>0</v>
      </c>
      <c r="AA51" s="197">
        <v>1</v>
      </c>
      <c r="AB51" s="238" t="s">
        <v>1406</v>
      </c>
      <c r="AC51" s="198"/>
      <c r="AD51" s="199">
        <v>1</v>
      </c>
      <c r="AE51" s="200">
        <v>1</v>
      </c>
      <c r="AF51" s="235"/>
      <c r="AG51" s="236"/>
      <c r="AH51" s="236"/>
      <c r="AI51" s="236"/>
      <c r="AJ51" s="236"/>
      <c r="AK51" s="236" t="str">
        <f>"    " &amp; TEXT(AE51,"#0.00%") &amp; " " &amp; "지도내부 상세정보 표시 화면 UI 구현" &amp; "(권병준)" &amp; " " &amp; IF(P51="","",TEXT(P51,"M/D-")) &amp; IF(Q51="","",TEXT(Q51,"M/D")) &amp; " "</f>
        <v xml:space="preserve">    100.00% 지도내부 상세정보 표시 화면 UI 구현(권병준) 1/7-1/8 </v>
      </c>
      <c r="AL51" s="236"/>
      <c r="AM51" s="236"/>
    </row>
    <row r="52" spans="1:39" outlineLevel="2">
      <c r="A52" s="189"/>
      <c r="B52" s="189"/>
      <c r="C52" s="189">
        <v>3</v>
      </c>
      <c r="D52" s="201" t="s">
        <v>1471</v>
      </c>
      <c r="E52" s="190"/>
      <c r="F52" s="190"/>
      <c r="G52" s="190" t="s">
        <v>1461</v>
      </c>
      <c r="H52" s="190"/>
      <c r="I52" s="190"/>
      <c r="J52" s="190"/>
      <c r="K52" s="190"/>
      <c r="L52" s="190"/>
      <c r="M52" s="190"/>
      <c r="N52" s="190"/>
      <c r="O52" s="190"/>
      <c r="P52" s="191">
        <v>43838</v>
      </c>
      <c r="Q52" s="191">
        <v>43839</v>
      </c>
      <c r="R52" s="193"/>
      <c r="S52" s="194">
        <v>2</v>
      </c>
      <c r="T52" s="194">
        <v>2</v>
      </c>
      <c r="U52" s="192">
        <v>2</v>
      </c>
      <c r="V52" s="192">
        <v>2</v>
      </c>
      <c r="W52" s="191"/>
      <c r="X52" s="191"/>
      <c r="Y52" s="195"/>
      <c r="Z52" s="196">
        <v>0</v>
      </c>
      <c r="AA52" s="197">
        <v>1</v>
      </c>
      <c r="AB52" s="193" t="s">
        <v>1480</v>
      </c>
      <c r="AC52" s="198"/>
      <c r="AD52" s="199">
        <v>1</v>
      </c>
      <c r="AE52" s="200">
        <v>1</v>
      </c>
      <c r="AF52" s="235"/>
      <c r="AG52" s="236"/>
      <c r="AH52" s="236"/>
      <c r="AI52" s="236"/>
      <c r="AJ52" s="236"/>
      <c r="AK52" s="236" t="str">
        <f>"     " &amp; TEXT(AE52,"#0.00%") &amp; " " &amp; "회원가입 및 회원정보 UI 구현" &amp; "(하동민.안동규)" &amp; " " &amp; IF(P52="","",TEXT(P52,"M/D-")) &amp; IF(Q52="","",TEXT(Q52,"M/D")) &amp; " "</f>
        <v xml:space="preserve">     100.00% 회원가입 및 회원정보 UI 구현(하동민.안동규) 1/8-1/9 </v>
      </c>
      <c r="AL52" s="236"/>
      <c r="AM52" s="236"/>
    </row>
    <row r="53" spans="1:39" outlineLevel="2">
      <c r="A53" s="189"/>
      <c r="B53" s="189"/>
      <c r="C53" s="189">
        <v>3</v>
      </c>
      <c r="D53" s="201" t="s">
        <v>1472</v>
      </c>
      <c r="E53" s="190"/>
      <c r="F53" s="237"/>
      <c r="G53" s="190" t="s">
        <v>1462</v>
      </c>
      <c r="H53" s="190"/>
      <c r="I53" s="190"/>
      <c r="J53" s="190"/>
      <c r="K53" s="190"/>
      <c r="L53" s="190"/>
      <c r="M53" s="190"/>
      <c r="N53" s="190"/>
      <c r="O53" s="190"/>
      <c r="P53" s="191">
        <v>43838</v>
      </c>
      <c r="Q53" s="191">
        <v>43839</v>
      </c>
      <c r="R53" s="193"/>
      <c r="S53" s="194">
        <v>2</v>
      </c>
      <c r="T53" s="194">
        <v>2</v>
      </c>
      <c r="U53" s="192">
        <v>2</v>
      </c>
      <c r="V53" s="192">
        <v>2</v>
      </c>
      <c r="W53" s="191"/>
      <c r="X53" s="191"/>
      <c r="Y53" s="195"/>
      <c r="Z53" s="196">
        <v>0</v>
      </c>
      <c r="AA53" s="197">
        <v>1</v>
      </c>
      <c r="AB53" s="193"/>
      <c r="AC53" s="198"/>
      <c r="AD53" s="199">
        <v>1</v>
      </c>
      <c r="AE53" s="200">
        <v>0</v>
      </c>
      <c r="AF53" s="235"/>
      <c r="AG53" s="236"/>
      <c r="AH53" s="236"/>
      <c r="AI53" s="236"/>
      <c r="AJ53" s="236"/>
      <c r="AK53" s="236" t="str">
        <f>"   " &amp; TEXT(AE53,"#0.00%") &amp; " " &amp; "회원가입 및 회원정보수정 유효성검사" &amp; " " &amp; IF(P53="","",TEXT(P53,"M/D-")) &amp; IF(Q53="","",TEXT(Q53,"M/D")) &amp; " "</f>
        <v xml:space="preserve">   0.00% 회원가입 및 회원정보수정 유효성검사 1/8-1/9 </v>
      </c>
      <c r="AL53" s="236"/>
      <c r="AM53" s="236"/>
    </row>
    <row r="54" spans="1:39" outlineLevel="1">
      <c r="A54" s="189"/>
      <c r="B54" s="189" t="s">
        <v>1262</v>
      </c>
      <c r="C54" s="189">
        <v>2</v>
      </c>
      <c r="D54" s="201" t="s">
        <v>1473</v>
      </c>
      <c r="E54" s="190"/>
      <c r="F54" s="237" t="s">
        <v>1442</v>
      </c>
      <c r="G54" s="190"/>
      <c r="H54" s="190"/>
      <c r="I54" s="190"/>
      <c r="J54" s="190"/>
      <c r="K54" s="190"/>
      <c r="L54" s="190"/>
      <c r="M54" s="190"/>
      <c r="N54" s="190"/>
      <c r="O54" s="190"/>
      <c r="P54" s="191">
        <v>43838</v>
      </c>
      <c r="Q54" s="191">
        <v>43840</v>
      </c>
      <c r="R54" s="193"/>
      <c r="S54" s="194">
        <v>6</v>
      </c>
      <c r="T54" s="194">
        <v>6</v>
      </c>
      <c r="U54" s="192">
        <v>3</v>
      </c>
      <c r="V54" s="192">
        <v>3</v>
      </c>
      <c r="W54" s="191"/>
      <c r="X54" s="191"/>
      <c r="Y54" s="195">
        <v>0</v>
      </c>
      <c r="Z54" s="196">
        <v>0</v>
      </c>
      <c r="AA54" s="197"/>
      <c r="AB54" s="193"/>
      <c r="AC54" s="198"/>
      <c r="AD54" s="199">
        <v>1</v>
      </c>
      <c r="AE54" s="200">
        <v>1</v>
      </c>
      <c r="AF54" s="235"/>
      <c r="AG54" s="236"/>
      <c r="AH54" s="236"/>
      <c r="AI54" s="236"/>
      <c r="AJ54" s="236"/>
      <c r="AK54" s="236" t="str">
        <f>"      " &amp; TEXT(AE54,"#0.00%") &amp; " " &amp; "유지보수" &amp; " " &amp; IF(P54="","",TEXT(P54,"M/D-")) &amp; IF(Q54="","",TEXT(Q54,"M/D")) &amp; " "</f>
        <v xml:space="preserve">      100.00% 유지보수 1/8-1/10 </v>
      </c>
      <c r="AL54" s="236"/>
      <c r="AM54" s="236"/>
    </row>
    <row r="55" spans="1:39" outlineLevel="2">
      <c r="A55" s="189"/>
      <c r="B55" s="189"/>
      <c r="C55" s="189">
        <v>3</v>
      </c>
      <c r="D55" s="201" t="s">
        <v>1474</v>
      </c>
      <c r="E55" s="190"/>
      <c r="F55" s="190"/>
      <c r="G55" s="190" t="s">
        <v>1463</v>
      </c>
      <c r="H55" s="190"/>
      <c r="I55" s="190"/>
      <c r="J55" s="190"/>
      <c r="K55" s="190"/>
      <c r="L55" s="190"/>
      <c r="M55" s="190"/>
      <c r="N55" s="190"/>
      <c r="O55" s="190"/>
      <c r="P55" s="191">
        <v>43838</v>
      </c>
      <c r="Q55" s="191">
        <v>43840</v>
      </c>
      <c r="R55" s="193"/>
      <c r="S55" s="194">
        <v>3</v>
      </c>
      <c r="T55" s="194">
        <v>3</v>
      </c>
      <c r="U55" s="192">
        <v>3</v>
      </c>
      <c r="V55" s="192">
        <v>3</v>
      </c>
      <c r="W55" s="191"/>
      <c r="X55" s="191"/>
      <c r="Y55" s="195"/>
      <c r="Z55" s="196">
        <v>0</v>
      </c>
      <c r="AA55" s="197">
        <v>1</v>
      </c>
      <c r="AB55" s="238" t="s">
        <v>1406</v>
      </c>
      <c r="AC55" s="198"/>
      <c r="AD55" s="199">
        <v>1</v>
      </c>
      <c r="AE55" s="200">
        <v>1</v>
      </c>
      <c r="AF55" s="235"/>
      <c r="AG55" s="236"/>
      <c r="AH55" s="236"/>
      <c r="AI55" s="236"/>
      <c r="AJ55" s="236"/>
      <c r="AK55" s="236" t="str">
        <f>"      " &amp; TEXT(AE55,"#0.00%") &amp; " " &amp; "마커 오류 유지보수" &amp; "(권병준)" &amp; " " &amp; IF(P55="","",TEXT(P55,"M/D-")) &amp; IF(Q55="","",TEXT(Q55,"M/D")) &amp; " "</f>
        <v xml:space="preserve">      100.00% 마커 오류 유지보수(권병준) 1/8-1/10 </v>
      </c>
      <c r="AL55" s="236"/>
      <c r="AM55" s="236"/>
    </row>
    <row r="56" spans="1:39" outlineLevel="2">
      <c r="A56" s="189"/>
      <c r="B56" s="189"/>
      <c r="C56" s="189">
        <v>3</v>
      </c>
      <c r="D56" s="201" t="s">
        <v>1475</v>
      </c>
      <c r="E56" s="190"/>
      <c r="F56" s="190"/>
      <c r="G56" s="190" t="s">
        <v>1464</v>
      </c>
      <c r="H56" s="190"/>
      <c r="I56" s="190"/>
      <c r="J56" s="190"/>
      <c r="K56" s="190"/>
      <c r="L56" s="190"/>
      <c r="M56" s="190"/>
      <c r="N56" s="190"/>
      <c r="O56" s="190"/>
      <c r="P56" s="191">
        <v>43838</v>
      </c>
      <c r="Q56" s="191">
        <v>43840</v>
      </c>
      <c r="R56" s="193"/>
      <c r="S56" s="194">
        <v>3</v>
      </c>
      <c r="T56" s="194">
        <v>3</v>
      </c>
      <c r="U56" s="192">
        <v>3</v>
      </c>
      <c r="V56" s="192">
        <v>3</v>
      </c>
      <c r="W56" s="191"/>
      <c r="X56" s="191"/>
      <c r="Y56" s="195"/>
      <c r="Z56" s="196">
        <v>0</v>
      </c>
      <c r="AA56" s="197">
        <v>1</v>
      </c>
      <c r="AB56" s="238" t="s">
        <v>1392</v>
      </c>
      <c r="AC56" s="198"/>
      <c r="AD56" s="199">
        <v>1</v>
      </c>
      <c r="AE56" s="200">
        <v>1</v>
      </c>
      <c r="AF56" s="235"/>
      <c r="AG56" s="236"/>
      <c r="AH56" s="236"/>
      <c r="AI56" s="236"/>
      <c r="AJ56" s="236"/>
      <c r="AK56" s="236" t="str">
        <f>"      " &amp; TEXT(AE56,"#0.00%") &amp; " " &amp; "통신된 봉사자 상세정보 표현 유지보수" &amp; "(안동규)" &amp; " " &amp; IF(P56="","",TEXT(P56,"M/D-")) &amp; IF(Q56="","",TEXT(Q56,"M/D")) &amp; " "</f>
        <v xml:space="preserve">      100.00% 통신된 봉사자 상세정보 표현 유지보수(안동규) 1/8-1/10 </v>
      </c>
      <c r="AL56" s="236"/>
      <c r="AM56" s="236"/>
    </row>
    <row r="57" spans="1:39" outlineLevel="1">
      <c r="A57" s="189"/>
      <c r="B57" s="189" t="s">
        <v>1262</v>
      </c>
      <c r="C57" s="189">
        <v>2</v>
      </c>
      <c r="D57" s="201" t="s">
        <v>1476</v>
      </c>
      <c r="E57" s="190"/>
      <c r="F57" s="237" t="s">
        <v>1190</v>
      </c>
      <c r="G57" s="190"/>
      <c r="H57" s="190"/>
      <c r="I57" s="190"/>
      <c r="J57" s="190"/>
      <c r="K57" s="190"/>
      <c r="L57" s="190"/>
      <c r="M57" s="190"/>
      <c r="N57" s="190"/>
      <c r="O57" s="190"/>
      <c r="P57" s="191">
        <v>43836</v>
      </c>
      <c r="Q57" s="191">
        <v>43840</v>
      </c>
      <c r="R57" s="193"/>
      <c r="S57" s="194">
        <v>10</v>
      </c>
      <c r="T57" s="194">
        <v>10</v>
      </c>
      <c r="U57" s="192">
        <v>5</v>
      </c>
      <c r="V57" s="192">
        <v>5</v>
      </c>
      <c r="W57" s="191"/>
      <c r="X57" s="191"/>
      <c r="Y57" s="195">
        <v>0</v>
      </c>
      <c r="Z57" s="196">
        <v>0</v>
      </c>
      <c r="AA57" s="197"/>
      <c r="AB57" s="193"/>
      <c r="AC57" s="198"/>
      <c r="AD57" s="199">
        <v>1</v>
      </c>
      <c r="AE57" s="200">
        <v>1</v>
      </c>
      <c r="AF57" s="235"/>
      <c r="AG57" s="236"/>
      <c r="AH57" s="236"/>
      <c r="AI57" s="236"/>
      <c r="AJ57" s="236"/>
      <c r="AK57" s="236" t="str">
        <f>"      " &amp; TEXT(AE57,"#0.00%") &amp; " " &amp; "테스트" &amp; " " &amp; IF(P57="","",TEXT(P57,"M/D-")) &amp; IF(Q57="","",TEXT(Q57,"M/D")) &amp; " "</f>
        <v xml:space="preserve">      100.00% 테스트 1/6-1/10 </v>
      </c>
      <c r="AL57" s="236"/>
      <c r="AM57" s="236"/>
    </row>
    <row r="58" spans="1:39" outlineLevel="2">
      <c r="A58" s="189"/>
      <c r="B58" s="189"/>
      <c r="C58" s="189">
        <v>3</v>
      </c>
      <c r="D58" s="201" t="s">
        <v>1477</v>
      </c>
      <c r="E58" s="190"/>
      <c r="F58" s="190"/>
      <c r="G58" s="190" t="s">
        <v>1465</v>
      </c>
      <c r="H58" s="190"/>
      <c r="I58" s="190"/>
      <c r="J58" s="190"/>
      <c r="K58" s="190"/>
      <c r="L58" s="190"/>
      <c r="M58" s="190"/>
      <c r="N58" s="190"/>
      <c r="O58" s="190"/>
      <c r="P58" s="191">
        <v>43836</v>
      </c>
      <c r="Q58" s="191">
        <v>43840</v>
      </c>
      <c r="R58" s="193"/>
      <c r="S58" s="194">
        <v>5</v>
      </c>
      <c r="T58" s="194">
        <v>5</v>
      </c>
      <c r="U58" s="192">
        <v>5</v>
      </c>
      <c r="V58" s="192">
        <v>5</v>
      </c>
      <c r="W58" s="191"/>
      <c r="X58" s="191"/>
      <c r="Y58" s="195"/>
      <c r="Z58" s="196">
        <v>0</v>
      </c>
      <c r="AA58" s="197">
        <v>1</v>
      </c>
      <c r="AB58" s="238" t="s">
        <v>1393</v>
      </c>
      <c r="AC58" s="198"/>
      <c r="AD58" s="199">
        <v>1</v>
      </c>
      <c r="AE58" s="200">
        <v>1</v>
      </c>
      <c r="AF58" s="235"/>
      <c r="AG58" s="236"/>
      <c r="AH58" s="236"/>
      <c r="AI58" s="236"/>
      <c r="AJ58" s="236"/>
      <c r="AK58" s="236" t="str">
        <f>"      " &amp; TEXT(AE58,"#0.00%") &amp; " " &amp; "샘플 데이터 삽입" &amp; "(하동민)" &amp; " " &amp; IF(P58="","",TEXT(P58,"M/D-")) &amp; IF(Q58="","",TEXT(Q58,"M/D")) &amp; " "</f>
        <v xml:space="preserve">      100.00% 샘플 데이터 삽입(하동민) 1/6-1/10 </v>
      </c>
      <c r="AL58" s="236"/>
      <c r="AM58" s="236"/>
    </row>
    <row r="59" spans="1:39" outlineLevel="2">
      <c r="A59" s="189"/>
      <c r="B59" s="189"/>
      <c r="C59" s="189">
        <v>3</v>
      </c>
      <c r="D59" s="201" t="s">
        <v>1478</v>
      </c>
      <c r="E59" s="190"/>
      <c r="F59" s="190"/>
      <c r="G59" s="190" t="s">
        <v>1466</v>
      </c>
      <c r="H59" s="190"/>
      <c r="I59" s="190"/>
      <c r="J59" s="190"/>
      <c r="K59" s="190"/>
      <c r="L59" s="190"/>
      <c r="M59" s="190"/>
      <c r="N59" s="190"/>
      <c r="O59" s="190"/>
      <c r="P59" s="191">
        <v>43836</v>
      </c>
      <c r="Q59" s="191">
        <v>43840</v>
      </c>
      <c r="R59" s="193"/>
      <c r="S59" s="194">
        <v>5</v>
      </c>
      <c r="T59" s="194">
        <v>5</v>
      </c>
      <c r="U59" s="192">
        <v>5</v>
      </c>
      <c r="V59" s="192">
        <v>5</v>
      </c>
      <c r="W59" s="191"/>
      <c r="X59" s="191"/>
      <c r="Y59" s="195"/>
      <c r="Z59" s="196">
        <v>0</v>
      </c>
      <c r="AA59" s="197">
        <v>1</v>
      </c>
      <c r="AB59" s="193" t="s">
        <v>1481</v>
      </c>
      <c r="AC59" s="198"/>
      <c r="AD59" s="199">
        <v>1</v>
      </c>
      <c r="AE59" s="200">
        <v>1</v>
      </c>
      <c r="AF59" s="235"/>
      <c r="AG59" s="236"/>
      <c r="AH59" s="236"/>
      <c r="AI59" s="236"/>
      <c r="AJ59" s="236"/>
      <c r="AK59" s="236" t="str">
        <f>"      " &amp; TEXT(AE59,"#0.00%") &amp; " " &amp; "기능 검증, 오류 테스트" &amp; "(안동규,권병준,하동민)" &amp; " " &amp; IF(P59="","",TEXT(P59,"M/D-")) &amp; IF(Q59="","",TEXT(Q59,"M/D")) &amp; " "</f>
        <v xml:space="preserve">      100.00% 기능 검증, 오류 테스트(안동규,권병준,하동민) 1/6-1/10 </v>
      </c>
      <c r="AL59" s="236"/>
      <c r="AM59" s="236"/>
    </row>
    <row r="60" spans="1:39">
      <c r="A60" s="189"/>
      <c r="B60" s="189" t="s">
        <v>1262</v>
      </c>
      <c r="C60" s="189">
        <v>1</v>
      </c>
      <c r="D60" s="201" t="s">
        <v>1170</v>
      </c>
      <c r="E60" s="190" t="s">
        <v>1482</v>
      </c>
      <c r="F60" s="190"/>
      <c r="G60" s="190"/>
      <c r="H60" s="190"/>
      <c r="I60" s="190"/>
      <c r="J60" s="190"/>
      <c r="K60" s="190"/>
      <c r="L60" s="190"/>
      <c r="M60" s="190"/>
      <c r="N60" s="190"/>
      <c r="O60" s="190"/>
      <c r="P60" s="191">
        <v>43843</v>
      </c>
      <c r="Q60" s="191">
        <v>43845</v>
      </c>
      <c r="R60" s="193"/>
      <c r="S60" s="194">
        <v>11</v>
      </c>
      <c r="T60" s="194">
        <v>9</v>
      </c>
      <c r="U60" s="192">
        <v>3</v>
      </c>
      <c r="V60" s="192">
        <v>2</v>
      </c>
      <c r="W60" s="191"/>
      <c r="X60" s="191"/>
      <c r="Y60" s="195">
        <v>0</v>
      </c>
      <c r="Z60" s="196">
        <v>0</v>
      </c>
      <c r="AA60" s="197"/>
      <c r="AB60" s="193"/>
      <c r="AC60" s="198"/>
      <c r="AD60" s="199">
        <v>0.81818181818181823</v>
      </c>
      <c r="AE60" s="200">
        <v>1</v>
      </c>
      <c r="AF60" s="235"/>
      <c r="AG60" s="236"/>
      <c r="AH60" s="236"/>
      <c r="AI60" s="236"/>
      <c r="AJ60" s="236"/>
      <c r="AK60" s="236"/>
      <c r="AL60" s="236" t="str">
        <f>"    " &amp; TEXT(AE60,"#0.00%") &amp; " " &amp; "7주차 프로젝트 회의" &amp; " " &amp; IF(P60="","",TEXT(P60,"M/D-")) &amp; IF(Q60="","",TEXT(Q60,"M/D")) &amp; " "</f>
        <v xml:space="preserve">    100.00% 7주차 프로젝트 회의 1/13-1/15 </v>
      </c>
      <c r="AM60" s="236"/>
    </row>
    <row r="61" spans="1:39" outlineLevel="1">
      <c r="A61" s="189"/>
      <c r="B61" s="189" t="s">
        <v>1262</v>
      </c>
      <c r="C61" s="189">
        <v>2</v>
      </c>
      <c r="D61" s="201" t="s">
        <v>1488</v>
      </c>
      <c r="E61" s="190"/>
      <c r="F61" s="237" t="s">
        <v>1442</v>
      </c>
      <c r="G61" s="190"/>
      <c r="H61" s="190"/>
      <c r="I61" s="190"/>
      <c r="J61" s="190"/>
      <c r="K61" s="190"/>
      <c r="L61" s="190"/>
      <c r="M61" s="190"/>
      <c r="N61" s="190"/>
      <c r="O61" s="190"/>
      <c r="P61" s="191">
        <v>43843</v>
      </c>
      <c r="Q61" s="191">
        <v>43844</v>
      </c>
      <c r="R61" s="193"/>
      <c r="S61" s="194">
        <v>2</v>
      </c>
      <c r="T61" s="194">
        <v>2</v>
      </c>
      <c r="U61" s="192">
        <v>2</v>
      </c>
      <c r="V61" s="192">
        <v>2</v>
      </c>
      <c r="W61" s="191"/>
      <c r="X61" s="191"/>
      <c r="Y61" s="195">
        <v>0</v>
      </c>
      <c r="Z61" s="196">
        <v>0</v>
      </c>
      <c r="AA61" s="197"/>
      <c r="AB61" s="193"/>
      <c r="AC61" s="198"/>
      <c r="AD61" s="199">
        <v>1</v>
      </c>
      <c r="AE61" s="200">
        <v>1</v>
      </c>
      <c r="AF61" s="235"/>
      <c r="AG61" s="236"/>
      <c r="AH61" s="236"/>
      <c r="AI61" s="236"/>
      <c r="AJ61" s="236"/>
      <c r="AK61" s="236"/>
      <c r="AL61" s="236" t="str">
        <f>"   " &amp; TEXT(AE61,"#0.00%") &amp; " " &amp; "유지보수" &amp; " " &amp; IF(P61="","",TEXT(P61,"M/D-")) &amp; IF(Q61="","",TEXT(Q61,"M/D")) &amp; " "</f>
        <v xml:space="preserve">   100.00% 유지보수 1/13-1/14 </v>
      </c>
      <c r="AM61" s="236"/>
    </row>
    <row r="62" spans="1:39" outlineLevel="2">
      <c r="A62" s="189"/>
      <c r="B62" s="189"/>
      <c r="C62" s="189">
        <v>3</v>
      </c>
      <c r="D62" s="201" t="s">
        <v>1489</v>
      </c>
      <c r="E62" s="190"/>
      <c r="F62" s="190"/>
      <c r="G62" s="190" t="s">
        <v>1483</v>
      </c>
      <c r="H62" s="190"/>
      <c r="I62" s="190"/>
      <c r="J62" s="190"/>
      <c r="K62" s="190"/>
      <c r="L62" s="190"/>
      <c r="M62" s="190"/>
      <c r="N62" s="190"/>
      <c r="O62" s="190"/>
      <c r="P62" s="191">
        <v>43843</v>
      </c>
      <c r="Q62" s="191">
        <v>43844</v>
      </c>
      <c r="R62" s="193"/>
      <c r="S62" s="194">
        <v>2</v>
      </c>
      <c r="T62" s="194">
        <v>2</v>
      </c>
      <c r="U62" s="192">
        <v>2</v>
      </c>
      <c r="V62" s="192">
        <v>2</v>
      </c>
      <c r="W62" s="191"/>
      <c r="X62" s="191"/>
      <c r="Y62" s="195"/>
      <c r="Z62" s="196">
        <v>0</v>
      </c>
      <c r="AA62" s="197">
        <v>1</v>
      </c>
      <c r="AB62" s="193" t="s">
        <v>1443</v>
      </c>
      <c r="AC62" s="198"/>
      <c r="AD62" s="199">
        <v>1</v>
      </c>
      <c r="AE62" s="200">
        <v>1</v>
      </c>
      <c r="AF62" s="235"/>
      <c r="AG62" s="236"/>
      <c r="AH62" s="236"/>
      <c r="AI62" s="236"/>
      <c r="AJ62" s="236"/>
      <c r="AK62" s="236"/>
      <c r="AL62" s="236" t="str">
        <f>"   " &amp; TEXT(AE62,"#0.00%") &amp; " " &amp; "로그 지우기" &amp; "(안동규,권병준)" &amp; " " &amp; IF(P62="","",TEXT(P62,"M/D-")) &amp; IF(Q62="","",TEXT(Q62,"M/D")) &amp; " "</f>
        <v xml:space="preserve">   100.00% 로그 지우기(안동규,권병준) 1/13-1/14 </v>
      </c>
      <c r="AM62" s="236"/>
    </row>
    <row r="63" spans="1:39" outlineLevel="1">
      <c r="A63" s="189"/>
      <c r="B63" s="189" t="s">
        <v>1262</v>
      </c>
      <c r="C63" s="189">
        <v>2</v>
      </c>
      <c r="D63" s="201" t="s">
        <v>1490</v>
      </c>
      <c r="E63" s="190"/>
      <c r="F63" s="237" t="s">
        <v>1190</v>
      </c>
      <c r="G63" s="190"/>
      <c r="H63" s="190"/>
      <c r="I63" s="190"/>
      <c r="J63" s="190"/>
      <c r="K63" s="190"/>
      <c r="L63" s="190"/>
      <c r="M63" s="190"/>
      <c r="N63" s="190"/>
      <c r="O63" s="190"/>
      <c r="P63" s="191">
        <v>43843</v>
      </c>
      <c r="Q63" s="191">
        <v>43845</v>
      </c>
      <c r="R63" s="193"/>
      <c r="S63" s="194">
        <v>3</v>
      </c>
      <c r="T63" s="194">
        <v>2</v>
      </c>
      <c r="U63" s="192">
        <v>3</v>
      </c>
      <c r="V63" s="192">
        <v>2</v>
      </c>
      <c r="W63" s="191"/>
      <c r="X63" s="191"/>
      <c r="Y63" s="195">
        <v>0</v>
      </c>
      <c r="Z63" s="196">
        <v>0</v>
      </c>
      <c r="AA63" s="197"/>
      <c r="AB63" s="193"/>
      <c r="AC63" s="198"/>
      <c r="AD63" s="199">
        <v>0.66666666666666663</v>
      </c>
      <c r="AE63" s="200">
        <v>1</v>
      </c>
      <c r="AF63" s="235"/>
      <c r="AG63" s="236"/>
      <c r="AH63" s="236"/>
      <c r="AI63" s="236"/>
      <c r="AJ63" s="236"/>
      <c r="AK63" s="236"/>
      <c r="AL63" s="236" t="str">
        <f>"    " &amp; TEXT(AE63,"#0.00%") &amp; " " &amp; "테스트" &amp; " " &amp; IF(P63="","",TEXT(P63,"M/D-")) &amp; IF(Q63="","",TEXT(Q63,"M/D")) &amp; " "</f>
        <v xml:space="preserve">    100.00% 테스트 1/13-1/15 </v>
      </c>
      <c r="AM63" s="236"/>
    </row>
    <row r="64" spans="1:39" outlineLevel="2">
      <c r="A64" s="189"/>
      <c r="B64" s="189"/>
      <c r="C64" s="189">
        <v>3</v>
      </c>
      <c r="D64" s="201" t="s">
        <v>1491</v>
      </c>
      <c r="E64" s="190"/>
      <c r="F64" s="190"/>
      <c r="G64" s="190" t="s">
        <v>1484</v>
      </c>
      <c r="H64" s="190"/>
      <c r="I64" s="190"/>
      <c r="J64" s="190"/>
      <c r="K64" s="190"/>
      <c r="L64" s="190"/>
      <c r="M64" s="190"/>
      <c r="N64" s="190"/>
      <c r="O64" s="190"/>
      <c r="P64" s="191">
        <v>43843</v>
      </c>
      <c r="Q64" s="191">
        <v>43845</v>
      </c>
      <c r="R64" s="193"/>
      <c r="S64" s="194">
        <v>3</v>
      </c>
      <c r="T64" s="194">
        <v>2</v>
      </c>
      <c r="U64" s="192">
        <v>3</v>
      </c>
      <c r="V64" s="192">
        <v>2</v>
      </c>
      <c r="W64" s="191"/>
      <c r="X64" s="191"/>
      <c r="Y64" s="195"/>
      <c r="Z64" s="196">
        <v>0</v>
      </c>
      <c r="AA64" s="197">
        <v>1</v>
      </c>
      <c r="AB64" s="193" t="s">
        <v>1481</v>
      </c>
      <c r="AC64" s="198"/>
      <c r="AD64" s="199">
        <v>0.66666666666666663</v>
      </c>
      <c r="AE64" s="200">
        <v>1</v>
      </c>
      <c r="AF64" s="235"/>
      <c r="AG64" s="236"/>
      <c r="AH64" s="236"/>
      <c r="AI64" s="236"/>
      <c r="AJ64" s="236"/>
      <c r="AK64" s="236"/>
      <c r="AL64" s="236" t="str">
        <f>"    " &amp; TEXT(AE64,"#0.00%") &amp; " " &amp; "전체 프로세스 테스트" &amp; "(안동규,권병준,하동민)" &amp; " " &amp; IF(P64="","",TEXT(P64,"M/D-")) &amp; IF(Q64="","",TEXT(Q64,"M/D")) &amp; " "</f>
        <v xml:space="preserve">    100.00% 전체 프로세스 테스트(안동규,권병준,하동민) 1/13-1/15 </v>
      </c>
      <c r="AM64" s="236"/>
    </row>
    <row r="65" spans="1:39" outlineLevel="1">
      <c r="A65" s="189"/>
      <c r="B65" s="189" t="s">
        <v>1262</v>
      </c>
      <c r="C65" s="189">
        <v>2</v>
      </c>
      <c r="D65" s="201" t="s">
        <v>1492</v>
      </c>
      <c r="E65" s="190"/>
      <c r="F65" s="237" t="s">
        <v>1479</v>
      </c>
      <c r="G65" s="190"/>
      <c r="H65" s="190"/>
      <c r="I65" s="190"/>
      <c r="J65" s="190"/>
      <c r="K65" s="190"/>
      <c r="L65" s="190"/>
      <c r="M65" s="190"/>
      <c r="N65" s="190"/>
      <c r="O65" s="190"/>
      <c r="P65" s="191">
        <v>43843</v>
      </c>
      <c r="Q65" s="191">
        <v>43845</v>
      </c>
      <c r="R65" s="193"/>
      <c r="S65" s="194">
        <v>6</v>
      </c>
      <c r="T65" s="194">
        <v>5</v>
      </c>
      <c r="U65" s="192">
        <v>3</v>
      </c>
      <c r="V65" s="192">
        <v>2</v>
      </c>
      <c r="W65" s="191"/>
      <c r="X65" s="191"/>
      <c r="Y65" s="195">
        <v>0</v>
      </c>
      <c r="Z65" s="196">
        <v>0</v>
      </c>
      <c r="AA65" s="197"/>
      <c r="AB65" s="193"/>
      <c r="AC65" s="198"/>
      <c r="AD65" s="199">
        <v>0.83333333333333337</v>
      </c>
      <c r="AE65" s="200">
        <v>1</v>
      </c>
      <c r="AF65" s="235"/>
      <c r="AG65" s="236"/>
      <c r="AH65" s="236"/>
      <c r="AI65" s="236"/>
      <c r="AJ65" s="236"/>
      <c r="AK65" s="236"/>
      <c r="AL65" s="236" t="str">
        <f>"    " &amp; TEXT(AE65,"#0.00%") &amp; " " &amp; "보고서" &amp; " " &amp; IF(P65="","",TEXT(P65,"M/D-")) &amp; IF(Q65="","",TEXT(Q65,"M/D")) &amp; " "</f>
        <v xml:space="preserve">    100.00% 보고서 1/13-1/15 </v>
      </c>
      <c r="AM65" s="236"/>
    </row>
    <row r="66" spans="1:39" outlineLevel="2">
      <c r="A66" s="189"/>
      <c r="B66" s="189"/>
      <c r="C66" s="189">
        <v>3</v>
      </c>
      <c r="D66" s="201" t="s">
        <v>1493</v>
      </c>
      <c r="E66" s="190"/>
      <c r="F66" s="190"/>
      <c r="G66" s="190" t="s">
        <v>1485</v>
      </c>
      <c r="H66" s="190"/>
      <c r="I66" s="190"/>
      <c r="J66" s="190"/>
      <c r="K66" s="190"/>
      <c r="L66" s="190"/>
      <c r="M66" s="190"/>
      <c r="N66" s="190"/>
      <c r="O66" s="190"/>
      <c r="P66" s="191">
        <v>43843</v>
      </c>
      <c r="Q66" s="191">
        <v>43844</v>
      </c>
      <c r="R66" s="193"/>
      <c r="S66" s="194">
        <v>2</v>
      </c>
      <c r="T66" s="194">
        <v>2</v>
      </c>
      <c r="U66" s="192">
        <v>2</v>
      </c>
      <c r="V66" s="192">
        <v>2</v>
      </c>
      <c r="W66" s="191"/>
      <c r="X66" s="191"/>
      <c r="Y66" s="195"/>
      <c r="Z66" s="196">
        <v>0</v>
      </c>
      <c r="AA66" s="197">
        <v>1</v>
      </c>
      <c r="AB66" s="238" t="s">
        <v>1393</v>
      </c>
      <c r="AC66" s="198"/>
      <c r="AD66" s="199">
        <v>1</v>
      </c>
      <c r="AE66" s="200">
        <v>1</v>
      </c>
      <c r="AF66" s="235"/>
      <c r="AG66" s="236"/>
      <c r="AH66" s="236"/>
      <c r="AI66" s="236"/>
      <c r="AJ66" s="236"/>
      <c r="AK66" s="236"/>
      <c r="AL66" s="236" t="str">
        <f>"   " &amp; TEXT(AE66,"#0.00%") &amp; " " &amp; "PPT 템플릿 및 구조 설계" &amp; "(하동민)" &amp; " " &amp; IF(P66="","",TEXT(P66,"M/D-")) &amp; IF(Q66="","",TEXT(Q66,"M/D")) &amp; " "</f>
        <v xml:space="preserve">   100.00% PPT 템플릿 및 구조 설계(하동민) 1/13-1/14 </v>
      </c>
      <c r="AM66" s="236"/>
    </row>
    <row r="67" spans="1:39" outlineLevel="2">
      <c r="A67" s="189"/>
      <c r="B67" s="189"/>
      <c r="C67" s="189">
        <v>3</v>
      </c>
      <c r="D67" s="201" t="s">
        <v>1494</v>
      </c>
      <c r="E67" s="190"/>
      <c r="F67" s="190"/>
      <c r="G67" s="190" t="s">
        <v>1486</v>
      </c>
      <c r="H67" s="190"/>
      <c r="I67" s="190"/>
      <c r="J67" s="190"/>
      <c r="K67" s="190"/>
      <c r="L67" s="190"/>
      <c r="M67" s="190"/>
      <c r="N67" s="190"/>
      <c r="O67" s="190"/>
      <c r="P67" s="191">
        <v>43843</v>
      </c>
      <c r="Q67" s="191">
        <v>43844</v>
      </c>
      <c r="R67" s="193"/>
      <c r="S67" s="194">
        <v>2</v>
      </c>
      <c r="T67" s="194">
        <v>2</v>
      </c>
      <c r="U67" s="192">
        <v>2</v>
      </c>
      <c r="V67" s="192">
        <v>2</v>
      </c>
      <c r="W67" s="191"/>
      <c r="X67" s="191"/>
      <c r="Y67" s="195"/>
      <c r="Z67" s="196">
        <v>0</v>
      </c>
      <c r="AA67" s="197">
        <v>1</v>
      </c>
      <c r="AB67" s="193" t="s">
        <v>1481</v>
      </c>
      <c r="AC67" s="198"/>
      <c r="AD67" s="199">
        <v>1</v>
      </c>
      <c r="AE67" s="200">
        <v>1</v>
      </c>
      <c r="AF67" s="235"/>
      <c r="AG67" s="236"/>
      <c r="AH67" s="236"/>
      <c r="AI67" s="236"/>
      <c r="AJ67" s="236"/>
      <c r="AK67" s="236"/>
      <c r="AL67" s="236" t="str">
        <f>"   " &amp; TEXT(AE67,"#0.00%") &amp; " " &amp; "PPT 제작" &amp; "(안동규,권병준,하동민)" &amp; " " &amp; IF(P67="","",TEXT(P67,"M/D-")) &amp; IF(Q67="","",TEXT(Q67,"M/D")) &amp; " "</f>
        <v xml:space="preserve">   100.00% PPT 제작(안동규,권병준,하동민) 1/13-1/14 </v>
      </c>
      <c r="AM67" s="236"/>
    </row>
    <row r="68" spans="1:39" outlineLevel="2">
      <c r="A68" s="189"/>
      <c r="B68" s="189"/>
      <c r="C68" s="189">
        <v>3</v>
      </c>
      <c r="D68" s="201" t="s">
        <v>1495</v>
      </c>
      <c r="E68" s="190"/>
      <c r="F68" s="190"/>
      <c r="G68" s="190" t="s">
        <v>1487</v>
      </c>
      <c r="H68" s="190"/>
      <c r="I68" s="190"/>
      <c r="J68" s="190"/>
      <c r="K68" s="190"/>
      <c r="L68" s="190"/>
      <c r="M68" s="190"/>
      <c r="N68" s="190"/>
      <c r="O68" s="190"/>
      <c r="P68" s="191">
        <v>43844</v>
      </c>
      <c r="Q68" s="191">
        <v>43845</v>
      </c>
      <c r="R68" s="193"/>
      <c r="S68" s="194">
        <v>2</v>
      </c>
      <c r="T68" s="194">
        <v>1</v>
      </c>
      <c r="U68" s="192">
        <v>2</v>
      </c>
      <c r="V68" s="192">
        <v>1</v>
      </c>
      <c r="W68" s="191"/>
      <c r="X68" s="191"/>
      <c r="Y68" s="195"/>
      <c r="Z68" s="196">
        <v>0</v>
      </c>
      <c r="AA68" s="197">
        <v>1</v>
      </c>
      <c r="AB68" s="193" t="s">
        <v>1481</v>
      </c>
      <c r="AC68" s="198"/>
      <c r="AD68" s="199">
        <v>0.5</v>
      </c>
      <c r="AE68" s="200">
        <v>1</v>
      </c>
      <c r="AF68" s="235"/>
      <c r="AG68" s="236"/>
      <c r="AH68" s="236"/>
      <c r="AI68" s="236"/>
      <c r="AJ68" s="236"/>
      <c r="AK68" s="236"/>
      <c r="AL68" s="236" t="str">
        <f>"    " &amp; TEXT(AE68,"#0.00%") &amp; " " &amp; "발표 준비" &amp; "(안동규,권병준,하동민)" &amp; " " &amp; IF(P68="","",TEXT(P68,"M/D-")) &amp; IF(Q68="","",TEXT(Q68,"M/D")) &amp; " "</f>
        <v xml:space="preserve">    100.00% 발표 준비(안동규,권병준,하동민) 1/14-1/15 </v>
      </c>
      <c r="AM68" s="236"/>
    </row>
    <row r="69" spans="1:39">
      <c r="A69" s="176"/>
      <c r="B69" s="176"/>
      <c r="C69" s="176"/>
      <c r="D69" s="177"/>
      <c r="E69" s="178"/>
      <c r="F69" s="178"/>
      <c r="G69" s="178"/>
      <c r="H69" s="178"/>
      <c r="I69" s="178"/>
      <c r="J69" s="178"/>
      <c r="K69" s="178"/>
      <c r="L69" s="178"/>
      <c r="M69" s="178"/>
      <c r="N69" s="178"/>
      <c r="O69" s="178"/>
      <c r="P69" s="179"/>
      <c r="Q69" s="179"/>
      <c r="R69" s="181"/>
      <c r="S69" s="182"/>
      <c r="T69" s="182"/>
      <c r="U69" s="180"/>
      <c r="V69" s="180"/>
      <c r="W69" s="179"/>
      <c r="X69" s="179"/>
      <c r="Y69" s="183"/>
      <c r="Z69" s="184"/>
      <c r="AA69" s="185"/>
      <c r="AB69" s="181"/>
      <c r="AC69" s="186"/>
      <c r="AD69" s="187"/>
      <c r="AE69" s="188"/>
      <c r="AF69" s="234"/>
      <c r="AG69" s="234"/>
      <c r="AH69" s="234"/>
      <c r="AI69" s="234"/>
      <c r="AJ69" s="234"/>
      <c r="AK69" s="234"/>
      <c r="AL69" s="234"/>
      <c r="AM69" s="234"/>
    </row>
  </sheetData>
  <sheetProtection formatCells="0" formatColumns="0" formatRows="0" insertColumns="0" insertRows="0" insertHyperlinks="0" deleteColumns="0" deleteRows="0" sort="0" autoFilter="0" pivotTables="0"/>
  <dataConsolidate/>
  <mergeCells count="25">
    <mergeCell ref="AF3:AI3"/>
    <mergeCell ref="AJ3:AM3"/>
    <mergeCell ref="AE3:AE4"/>
    <mergeCell ref="A3:A4"/>
    <mergeCell ref="B3:B4"/>
    <mergeCell ref="C3:C4"/>
    <mergeCell ref="D3:D4"/>
    <mergeCell ref="E3:N4"/>
    <mergeCell ref="T3:T4"/>
    <mergeCell ref="W3:W4"/>
    <mergeCell ref="U3:U4"/>
    <mergeCell ref="AD3:AD4"/>
    <mergeCell ref="AC3:AC4"/>
    <mergeCell ref="AB3:AB4"/>
    <mergeCell ref="V3:V4"/>
    <mergeCell ref="X3:X4"/>
    <mergeCell ref="Z3:Z4"/>
    <mergeCell ref="Y3:Y4"/>
    <mergeCell ref="AA3:AA4"/>
    <mergeCell ref="D2:F2"/>
    <mergeCell ref="O3:O4"/>
    <mergeCell ref="P3:P4"/>
    <mergeCell ref="Q3:Q4"/>
    <mergeCell ref="S3:S4"/>
    <mergeCell ref="R3:R4"/>
  </mergeCells>
  <phoneticPr fontId="7" type="noConversion"/>
  <conditionalFormatting sqref="D5:AE68">
    <cfRule type="expression" dxfId="1" priority="2">
      <formula>($B5="G")</formula>
    </cfRule>
    <cfRule type="expression" dxfId="0" priority="1">
      <formula>($AE5=1)</formula>
    </cfRule>
  </conditionalFormatting>
  <hyperlinks>
    <hyperlink ref="AF1" r:id="rId1" display="http://xlworks.net/"/>
  </hyperlinks>
  <pageMargins left="0.19685039370078741" right="0.23622047244094491" top="0.43307086614173229" bottom="0.23622047244094491" header="0.23622047244094491" footer="0.19685039370078741"/>
  <pageSetup paperSize="9" scale="68"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4.4"/>
  <cols>
    <col min="1" max="1" width="35.3984375" style="69" customWidth="1"/>
    <col min="2" max="2" width="13.19921875" style="67" customWidth="1"/>
    <col min="3" max="3" width="9.8984375" style="71" customWidth="1"/>
    <col min="4" max="4" width="31.3984375" style="71" customWidth="1"/>
    <col min="5" max="6" width="14.09765625" style="71" customWidth="1"/>
    <col min="7" max="7" width="28.3984375" style="71" customWidth="1"/>
    <col min="8" max="9" width="10" style="71"/>
    <col min="10" max="10" width="8.8984375" style="71" bestFit="1" customWidth="1"/>
    <col min="11" max="19" width="10" style="71"/>
    <col min="20" max="22" width="10" style="71" customWidth="1"/>
    <col min="23" max="23" width="10" style="71" hidden="1" customWidth="1"/>
    <col min="24" max="16384" width="10" style="71"/>
  </cols>
  <sheetData>
    <row r="1" spans="1:17" s="16" customFormat="1" ht="36.9" customHeight="1">
      <c r="A1" s="13" t="s">
        <v>1387</v>
      </c>
      <c r="B1" s="14"/>
      <c r="C1" s="14"/>
      <c r="D1" s="14"/>
      <c r="E1" s="14"/>
      <c r="F1" s="14"/>
      <c r="G1" s="14"/>
      <c r="H1" s="14"/>
      <c r="I1" s="14"/>
      <c r="J1" s="14"/>
      <c r="K1" s="14"/>
      <c r="L1" s="276"/>
      <c r="M1" s="277"/>
      <c r="N1" s="277"/>
      <c r="O1" s="15"/>
      <c r="P1" s="15"/>
      <c r="Q1" s="15"/>
    </row>
    <row r="2" spans="1:17" s="19" customFormat="1" ht="13.8">
      <c r="A2" s="17" t="s">
        <v>1100</v>
      </c>
      <c r="B2" s="18"/>
    </row>
    <row r="3" spans="1:17" s="19" customFormat="1" ht="13.8">
      <c r="A3" s="17" t="s">
        <v>1101</v>
      </c>
      <c r="B3" s="18"/>
    </row>
    <row r="4" spans="1:17" s="19" customFormat="1" ht="13.8">
      <c r="A4" s="278"/>
      <c r="B4" s="278"/>
      <c r="C4" s="20"/>
      <c r="D4" s="21"/>
      <c r="E4" s="21"/>
      <c r="F4" s="21"/>
    </row>
    <row r="5" spans="1:17" s="27" customFormat="1" ht="13.8">
      <c r="A5" s="22"/>
      <c r="B5" s="23"/>
      <c r="C5" s="24"/>
      <c r="D5" s="25"/>
      <c r="E5" s="26"/>
      <c r="F5" s="26"/>
      <c r="G5" s="26"/>
    </row>
    <row r="6" spans="1:17" s="27" customFormat="1" ht="13.8">
      <c r="A6" s="28" t="s">
        <v>1102</v>
      </c>
      <c r="B6" s="29">
        <v>100</v>
      </c>
      <c r="C6" s="27" t="s">
        <v>0</v>
      </c>
      <c r="D6" s="275" t="s">
        <v>1103</v>
      </c>
      <c r="E6" s="275"/>
      <c r="F6" s="275"/>
      <c r="G6" s="275"/>
    </row>
    <row r="7" spans="1:17" s="27" customFormat="1" ht="13.8">
      <c r="A7" s="30"/>
      <c r="B7" s="31"/>
      <c r="C7" s="32"/>
      <c r="D7" s="33"/>
      <c r="E7" s="33"/>
      <c r="F7" s="33"/>
      <c r="G7" s="33"/>
    </row>
    <row r="8" spans="1:17" s="27" customFormat="1" ht="12.75" customHeight="1">
      <c r="A8" s="34"/>
      <c r="B8" s="35"/>
      <c r="D8" s="36"/>
      <c r="E8" s="36"/>
      <c r="F8" s="36"/>
      <c r="G8" s="36"/>
      <c r="J8" s="37"/>
    </row>
    <row r="9" spans="1:17" s="27" customFormat="1" ht="13.8">
      <c r="A9" s="28" t="s">
        <v>1104</v>
      </c>
      <c r="B9" s="29">
        <v>98</v>
      </c>
      <c r="C9" s="27" t="s">
        <v>0</v>
      </c>
      <c r="D9" s="274" t="s">
        <v>1105</v>
      </c>
      <c r="E9" s="274"/>
      <c r="F9" s="274"/>
      <c r="G9" s="274"/>
    </row>
    <row r="10" spans="1:17" s="27" customFormat="1" ht="13.8">
      <c r="A10" s="38"/>
      <c r="B10" s="31"/>
      <c r="C10" s="32"/>
      <c r="D10" s="39"/>
      <c r="E10" s="39"/>
      <c r="F10" s="39"/>
      <c r="G10" s="39"/>
    </row>
    <row r="11" spans="1:17" s="27" customFormat="1" ht="13.5" customHeight="1">
      <c r="A11" s="40"/>
      <c r="B11" s="35"/>
      <c r="D11" s="36"/>
      <c r="E11" s="36"/>
      <c r="F11" s="36"/>
      <c r="G11" s="36"/>
    </row>
    <row r="12" spans="1:17" s="27" customFormat="1" ht="12.75" customHeight="1">
      <c r="A12" s="41" t="s">
        <v>1367</v>
      </c>
      <c r="B12" s="29">
        <v>98</v>
      </c>
      <c r="C12" s="27" t="s">
        <v>0</v>
      </c>
      <c r="D12" s="279" t="s">
        <v>1368</v>
      </c>
      <c r="E12" s="274"/>
      <c r="F12" s="274"/>
      <c r="G12" s="274"/>
    </row>
    <row r="13" spans="1:17" s="44" customFormat="1" ht="13.8">
      <c r="A13" s="42"/>
      <c r="B13" s="31"/>
      <c r="C13" s="43"/>
      <c r="D13" s="39"/>
      <c r="E13" s="39"/>
      <c r="F13" s="39"/>
      <c r="G13" s="39"/>
      <c r="K13" s="45"/>
    </row>
    <row r="14" spans="1:17" s="44" customFormat="1" ht="14.25" customHeight="1">
      <c r="A14" s="40"/>
      <c r="B14" s="46"/>
      <c r="C14" s="47"/>
      <c r="D14" s="36"/>
      <c r="E14" s="36"/>
      <c r="F14" s="36"/>
      <c r="G14" s="36"/>
    </row>
    <row r="15" spans="1:17" s="27" customFormat="1" ht="12.75" customHeight="1">
      <c r="A15" s="41" t="s">
        <v>1241</v>
      </c>
      <c r="B15" s="29"/>
      <c r="C15" s="27" t="s">
        <v>0</v>
      </c>
      <c r="D15" s="274" t="s">
        <v>1106</v>
      </c>
      <c r="E15" s="274"/>
      <c r="F15" s="274"/>
      <c r="G15" s="274"/>
    </row>
    <row r="16" spans="1:17" s="27" customFormat="1" ht="13.8">
      <c r="A16" s="42"/>
      <c r="B16" s="48"/>
      <c r="C16" s="49"/>
      <c r="D16" s="39"/>
      <c r="E16" s="39"/>
      <c r="F16" s="39"/>
      <c r="G16" s="39"/>
    </row>
    <row r="17" spans="1:7" s="44" customFormat="1" ht="12.75" customHeight="1">
      <c r="A17" s="50"/>
      <c r="B17" s="46"/>
      <c r="C17" s="47"/>
      <c r="D17" s="36"/>
      <c r="E17" s="36"/>
      <c r="F17" s="36"/>
      <c r="G17" s="36"/>
    </row>
    <row r="18" spans="1:7" s="27" customFormat="1" ht="13.8">
      <c r="A18" s="28" t="s">
        <v>1107</v>
      </c>
      <c r="B18" s="51">
        <v>0.98</v>
      </c>
      <c r="D18" s="274" t="s">
        <v>1108</v>
      </c>
      <c r="E18" s="274"/>
      <c r="F18" s="274"/>
      <c r="G18" s="274"/>
    </row>
    <row r="19" spans="1:7" s="27" customFormat="1" ht="13.8">
      <c r="A19" s="52"/>
      <c r="B19" s="48"/>
      <c r="C19" s="49"/>
      <c r="D19" s="39"/>
      <c r="E19" s="39"/>
      <c r="F19" s="39"/>
      <c r="G19" s="39"/>
    </row>
    <row r="20" spans="1:7" s="27" customFormat="1" ht="12.75" customHeight="1">
      <c r="A20" s="53"/>
      <c r="B20" s="23"/>
      <c r="C20" s="24"/>
      <c r="D20" s="36"/>
      <c r="E20" s="36"/>
      <c r="F20" s="36"/>
      <c r="G20" s="36"/>
    </row>
    <row r="21" spans="1:7" s="27" customFormat="1" ht="13.8">
      <c r="A21" s="28" t="s">
        <v>1109</v>
      </c>
      <c r="B21" s="51">
        <v>0.98</v>
      </c>
      <c r="D21" s="274" t="s">
        <v>1110</v>
      </c>
      <c r="E21" s="274"/>
      <c r="F21" s="274"/>
      <c r="G21" s="274"/>
    </row>
    <row r="22" spans="1:7" s="27" customFormat="1" ht="13.8">
      <c r="A22" s="54"/>
      <c r="B22" s="55"/>
      <c r="C22" s="56"/>
      <c r="D22" s="39"/>
      <c r="E22" s="39"/>
      <c r="F22" s="39"/>
      <c r="G22" s="39"/>
    </row>
    <row r="23" spans="1:7" s="27" customFormat="1" ht="13.5" customHeight="1">
      <c r="A23" s="57"/>
      <c r="B23" s="58"/>
      <c r="C23" s="59"/>
      <c r="D23" s="60"/>
      <c r="E23" s="60"/>
      <c r="F23" s="60"/>
      <c r="G23" s="60"/>
    </row>
    <row r="24" spans="1:7" s="27" customFormat="1" ht="13.8">
      <c r="A24" s="28" t="s">
        <v>1111</v>
      </c>
      <c r="B24" s="61">
        <f>ACTUAL_RATE-PLANNED_RATE</f>
        <v>0</v>
      </c>
      <c r="D24" s="275" t="s">
        <v>1112</v>
      </c>
      <c r="E24" s="275"/>
      <c r="F24" s="275"/>
      <c r="G24" s="275"/>
    </row>
    <row r="25" spans="1:7" s="27" customFormat="1" ht="13.8">
      <c r="A25" s="62"/>
      <c r="B25" s="63"/>
      <c r="C25" s="64"/>
      <c r="D25" s="65"/>
      <c r="E25" s="65"/>
      <c r="F25" s="65"/>
      <c r="G25" s="65"/>
    </row>
    <row r="26" spans="1:7" s="68" customFormat="1">
      <c r="A26" s="66"/>
      <c r="B26" s="67"/>
    </row>
    <row r="27" spans="1:7">
      <c r="B27" s="70"/>
      <c r="G27" s="69"/>
    </row>
    <row r="28" spans="1:7">
      <c r="B28" s="72"/>
    </row>
    <row r="29" spans="1:7">
      <c r="B29" s="72"/>
    </row>
    <row r="30" spans="1:7">
      <c r="B30" s="73"/>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198CFF"/>
  </sheetPr>
  <dimension ref="B1:L29"/>
  <sheetViews>
    <sheetView showGridLines="0" zoomScale="90" zoomScaleNormal="90" workbookViewId="0">
      <pane ySplit="1" topLeftCell="A2" activePane="bottomLeft" state="frozen"/>
      <selection pane="bottomLeft"/>
    </sheetView>
  </sheetViews>
  <sheetFormatPr defaultColWidth="9.09765625" defaultRowHeight="14.4"/>
  <cols>
    <col min="1" max="1" width="1.59765625" style="170" customWidth="1"/>
    <col min="2" max="3" width="10.59765625" style="170" bestFit="1" customWidth="1"/>
    <col min="4" max="4" width="9.09765625" style="170"/>
    <col min="5" max="5" width="10.59765625" style="170" customWidth="1"/>
    <col min="6" max="6" width="9.09765625" style="170"/>
    <col min="7" max="12" width="9.09765625" style="139"/>
    <col min="13" max="16384" width="9.09765625" style="170"/>
  </cols>
  <sheetData>
    <row r="1" spans="2:12" ht="36.9" customHeight="1">
      <c r="B1" s="74" t="s">
        <v>1256</v>
      </c>
    </row>
    <row r="2" spans="2:12">
      <c r="B2" s="170" t="s">
        <v>1257</v>
      </c>
    </row>
    <row r="3" spans="2:12">
      <c r="B3" s="170" t="s">
        <v>1258</v>
      </c>
    </row>
    <row r="6" spans="2:12" ht="43.2">
      <c r="B6" s="75" t="s">
        <v>572</v>
      </c>
      <c r="C6" s="137" t="s">
        <v>573</v>
      </c>
      <c r="D6" s="137" t="s">
        <v>1247</v>
      </c>
      <c r="E6" s="137" t="s">
        <v>1248</v>
      </c>
      <c r="F6" s="137" t="s">
        <v>1249</v>
      </c>
      <c r="G6" s="171" t="s">
        <v>1250</v>
      </c>
      <c r="H6" s="171" t="s">
        <v>1251</v>
      </c>
      <c r="I6" s="171" t="s">
        <v>1252</v>
      </c>
      <c r="J6" s="171" t="s">
        <v>1253</v>
      </c>
      <c r="K6" s="171" t="s">
        <v>1254</v>
      </c>
      <c r="L6" s="172" t="s">
        <v>1255</v>
      </c>
    </row>
    <row r="7" spans="2:12">
      <c r="B7" s="156">
        <v>43696</v>
      </c>
      <c r="C7" s="156">
        <v>43701</v>
      </c>
      <c r="D7" s="157">
        <v>4</v>
      </c>
      <c r="E7" s="157">
        <f>D7</f>
        <v>4</v>
      </c>
      <c r="F7" s="173">
        <f t="shared" ref="F7:F28" si="0">E7/$D$29</f>
        <v>1.444043321299639E-2</v>
      </c>
      <c r="G7" s="158">
        <v>4</v>
      </c>
      <c r="H7" s="158">
        <f>G7</f>
        <v>4</v>
      </c>
      <c r="I7" s="173">
        <f t="shared" ref="I7:I12" si="1">H7/$D$29</f>
        <v>1.444043321299639E-2</v>
      </c>
      <c r="J7" s="158"/>
      <c r="K7" s="158">
        <f>J7</f>
        <v>0</v>
      </c>
      <c r="L7" s="173">
        <f t="shared" ref="L7:L12" si="2">K7/$D$29</f>
        <v>0</v>
      </c>
    </row>
    <row r="8" spans="2:12">
      <c r="B8" s="159">
        <v>43702</v>
      </c>
      <c r="C8" s="159">
        <v>43708</v>
      </c>
      <c r="D8" s="160">
        <v>13</v>
      </c>
      <c r="E8" s="160">
        <f t="shared" ref="E8:E28" si="3">E7+D8</f>
        <v>17</v>
      </c>
      <c r="F8" s="174">
        <f t="shared" si="0"/>
        <v>6.1371841155234655E-2</v>
      </c>
      <c r="G8" s="161">
        <v>11</v>
      </c>
      <c r="H8" s="161">
        <f>H7+G8</f>
        <v>15</v>
      </c>
      <c r="I8" s="174">
        <f t="shared" si="1"/>
        <v>5.4151624548736461E-2</v>
      </c>
      <c r="J8" s="161"/>
      <c r="K8" s="161">
        <f>K7+J8</f>
        <v>0</v>
      </c>
      <c r="L8" s="174">
        <f t="shared" si="2"/>
        <v>0</v>
      </c>
    </row>
    <row r="9" spans="2:12">
      <c r="B9" s="159">
        <v>43709</v>
      </c>
      <c r="C9" s="159">
        <v>43715</v>
      </c>
      <c r="D9" s="160">
        <v>15</v>
      </c>
      <c r="E9" s="160">
        <f t="shared" si="3"/>
        <v>32</v>
      </c>
      <c r="F9" s="174">
        <f t="shared" si="0"/>
        <v>0.11552346570397112</v>
      </c>
      <c r="G9" s="161">
        <v>11.6</v>
      </c>
      <c r="H9" s="161">
        <f>H8+G9</f>
        <v>26.6</v>
      </c>
      <c r="I9" s="174">
        <f t="shared" si="1"/>
        <v>9.6028880866425997E-2</v>
      </c>
      <c r="J9" s="161"/>
      <c r="K9" s="161">
        <f>K8+J9</f>
        <v>0</v>
      </c>
      <c r="L9" s="174">
        <f t="shared" si="2"/>
        <v>0</v>
      </c>
    </row>
    <row r="10" spans="2:12">
      <c r="B10" s="159">
        <v>43716</v>
      </c>
      <c r="C10" s="159">
        <v>43722</v>
      </c>
      <c r="D10" s="160">
        <v>6</v>
      </c>
      <c r="E10" s="160">
        <f t="shared" si="3"/>
        <v>38</v>
      </c>
      <c r="F10" s="174">
        <f t="shared" si="0"/>
        <v>0.13718411552346571</v>
      </c>
      <c r="G10" s="161">
        <v>6</v>
      </c>
      <c r="H10" s="161">
        <f>H9+G10</f>
        <v>32.6</v>
      </c>
      <c r="I10" s="174">
        <f t="shared" si="1"/>
        <v>0.11768953068592058</v>
      </c>
      <c r="J10" s="161"/>
      <c r="K10" s="161">
        <f>K9+J10</f>
        <v>0</v>
      </c>
      <c r="L10" s="174">
        <f t="shared" si="2"/>
        <v>0</v>
      </c>
    </row>
    <row r="11" spans="2:12">
      <c r="B11" s="159">
        <v>43723</v>
      </c>
      <c r="C11" s="159">
        <v>43729</v>
      </c>
      <c r="D11" s="160">
        <v>9</v>
      </c>
      <c r="E11" s="160">
        <f t="shared" si="3"/>
        <v>47</v>
      </c>
      <c r="F11" s="174">
        <f t="shared" si="0"/>
        <v>0.16967509025270758</v>
      </c>
      <c r="G11" s="161">
        <v>3</v>
      </c>
      <c r="H11" s="161">
        <f>H10+G11</f>
        <v>35.6</v>
      </c>
      <c r="I11" s="174">
        <f t="shared" si="1"/>
        <v>0.12851985559566786</v>
      </c>
      <c r="J11" s="161"/>
      <c r="K11" s="161">
        <f>K10+J11</f>
        <v>0</v>
      </c>
      <c r="L11" s="174">
        <f t="shared" si="2"/>
        <v>0</v>
      </c>
    </row>
    <row r="12" spans="2:12">
      <c r="B12" s="159">
        <v>43730</v>
      </c>
      <c r="C12" s="159">
        <v>43736</v>
      </c>
      <c r="D12" s="160">
        <v>14</v>
      </c>
      <c r="E12" s="160">
        <f t="shared" si="3"/>
        <v>61</v>
      </c>
      <c r="F12" s="174">
        <f t="shared" si="0"/>
        <v>0.22021660649819494</v>
      </c>
      <c r="G12" s="161">
        <v>0</v>
      </c>
      <c r="H12" s="161">
        <f>H11+G12</f>
        <v>35.6</v>
      </c>
      <c r="I12" s="174">
        <f t="shared" si="1"/>
        <v>0.12851985559566786</v>
      </c>
      <c r="J12" s="161"/>
      <c r="K12" s="161">
        <f>K11+J12</f>
        <v>0</v>
      </c>
      <c r="L12" s="174">
        <f t="shared" si="2"/>
        <v>0</v>
      </c>
    </row>
    <row r="13" spans="2:12">
      <c r="B13" s="159">
        <v>43737</v>
      </c>
      <c r="C13" s="159">
        <v>43743</v>
      </c>
      <c r="D13" s="160">
        <v>10</v>
      </c>
      <c r="E13" s="160">
        <f t="shared" si="3"/>
        <v>71</v>
      </c>
      <c r="F13" s="174">
        <f t="shared" si="0"/>
        <v>0.2563176895306859</v>
      </c>
      <c r="G13" s="161"/>
      <c r="H13" s="161"/>
      <c r="I13" s="161"/>
      <c r="J13" s="161"/>
      <c r="K13" s="161"/>
      <c r="L13" s="161"/>
    </row>
    <row r="14" spans="2:12">
      <c r="B14" s="159">
        <v>43744</v>
      </c>
      <c r="C14" s="159">
        <v>43750</v>
      </c>
      <c r="D14" s="160">
        <v>5</v>
      </c>
      <c r="E14" s="160">
        <f t="shared" si="3"/>
        <v>76</v>
      </c>
      <c r="F14" s="174">
        <f t="shared" si="0"/>
        <v>0.27436823104693142</v>
      </c>
      <c r="G14" s="161"/>
      <c r="H14" s="161"/>
      <c r="I14" s="161"/>
      <c r="J14" s="161"/>
      <c r="K14" s="161"/>
      <c r="L14" s="161"/>
    </row>
    <row r="15" spans="2:12">
      <c r="B15" s="159">
        <v>43751</v>
      </c>
      <c r="C15" s="159">
        <v>43757</v>
      </c>
      <c r="D15" s="160">
        <v>12</v>
      </c>
      <c r="E15" s="160">
        <f t="shared" si="3"/>
        <v>88</v>
      </c>
      <c r="F15" s="174">
        <f t="shared" si="0"/>
        <v>0.3176895306859206</v>
      </c>
      <c r="G15" s="161"/>
      <c r="H15" s="161"/>
      <c r="I15" s="161"/>
      <c r="J15" s="161"/>
      <c r="K15" s="161"/>
      <c r="L15" s="161"/>
    </row>
    <row r="16" spans="2:12">
      <c r="B16" s="159">
        <v>43758</v>
      </c>
      <c r="C16" s="159">
        <v>43764</v>
      </c>
      <c r="D16" s="160">
        <v>17</v>
      </c>
      <c r="E16" s="160">
        <f t="shared" si="3"/>
        <v>105</v>
      </c>
      <c r="F16" s="174">
        <f t="shared" si="0"/>
        <v>0.37906137184115524</v>
      </c>
      <c r="G16" s="161"/>
      <c r="H16" s="161"/>
      <c r="I16" s="161"/>
      <c r="J16" s="161"/>
      <c r="K16" s="161"/>
      <c r="L16" s="161"/>
    </row>
    <row r="17" spans="2:12">
      <c r="B17" s="159">
        <v>43765</v>
      </c>
      <c r="C17" s="159">
        <v>43771</v>
      </c>
      <c r="D17" s="160">
        <v>18</v>
      </c>
      <c r="E17" s="160">
        <f t="shared" si="3"/>
        <v>123</v>
      </c>
      <c r="F17" s="174">
        <f t="shared" si="0"/>
        <v>0.44404332129963897</v>
      </c>
      <c r="G17" s="161"/>
      <c r="H17" s="161"/>
      <c r="I17" s="161"/>
      <c r="J17" s="161"/>
      <c r="K17" s="161"/>
      <c r="L17" s="161"/>
    </row>
    <row r="18" spans="2:12">
      <c r="B18" s="159">
        <v>43772</v>
      </c>
      <c r="C18" s="159">
        <v>43778</v>
      </c>
      <c r="D18" s="160">
        <v>16</v>
      </c>
      <c r="E18" s="160">
        <f t="shared" si="3"/>
        <v>139</v>
      </c>
      <c r="F18" s="174">
        <f t="shared" si="0"/>
        <v>0.50180505415162457</v>
      </c>
      <c r="G18" s="161"/>
      <c r="H18" s="161"/>
      <c r="I18" s="161"/>
      <c r="J18" s="161"/>
      <c r="K18" s="161"/>
      <c r="L18" s="161"/>
    </row>
    <row r="19" spans="2:12">
      <c r="B19" s="159">
        <v>43779</v>
      </c>
      <c r="C19" s="159">
        <v>43785</v>
      </c>
      <c r="D19" s="160">
        <v>15</v>
      </c>
      <c r="E19" s="160">
        <f t="shared" si="3"/>
        <v>154</v>
      </c>
      <c r="F19" s="174">
        <f t="shared" si="0"/>
        <v>0.55595667870036103</v>
      </c>
      <c r="G19" s="161"/>
      <c r="H19" s="161"/>
      <c r="I19" s="161"/>
      <c r="J19" s="161"/>
      <c r="K19" s="161"/>
      <c r="L19" s="161"/>
    </row>
    <row r="20" spans="2:12">
      <c r="B20" s="159">
        <v>43786</v>
      </c>
      <c r="C20" s="159">
        <v>43792</v>
      </c>
      <c r="D20" s="160">
        <v>18</v>
      </c>
      <c r="E20" s="160">
        <f t="shared" si="3"/>
        <v>172</v>
      </c>
      <c r="F20" s="174">
        <f t="shared" si="0"/>
        <v>0.62093862815884482</v>
      </c>
      <c r="G20" s="161"/>
      <c r="H20" s="161"/>
      <c r="I20" s="161"/>
      <c r="J20" s="161"/>
      <c r="K20" s="161"/>
      <c r="L20" s="161"/>
    </row>
    <row r="21" spans="2:12">
      <c r="B21" s="159">
        <v>43793</v>
      </c>
      <c r="C21" s="159">
        <v>43799</v>
      </c>
      <c r="D21" s="160">
        <v>22</v>
      </c>
      <c r="E21" s="160">
        <f t="shared" si="3"/>
        <v>194</v>
      </c>
      <c r="F21" s="174">
        <f t="shared" si="0"/>
        <v>0.70036101083032487</v>
      </c>
      <c r="G21" s="161"/>
      <c r="H21" s="161"/>
      <c r="I21" s="161"/>
      <c r="J21" s="161"/>
      <c r="K21" s="161"/>
      <c r="L21" s="161"/>
    </row>
    <row r="22" spans="2:12">
      <c r="B22" s="159">
        <v>43800</v>
      </c>
      <c r="C22" s="159">
        <v>43806</v>
      </c>
      <c r="D22" s="160">
        <v>25</v>
      </c>
      <c r="E22" s="160">
        <f t="shared" si="3"/>
        <v>219</v>
      </c>
      <c r="F22" s="174">
        <f t="shared" si="0"/>
        <v>0.79061371841155237</v>
      </c>
      <c r="G22" s="161"/>
      <c r="H22" s="161"/>
      <c r="I22" s="161"/>
      <c r="J22" s="161"/>
      <c r="K22" s="161"/>
      <c r="L22" s="161"/>
    </row>
    <row r="23" spans="2:12">
      <c r="B23" s="159">
        <v>43807</v>
      </c>
      <c r="C23" s="159">
        <v>43813</v>
      </c>
      <c r="D23" s="160">
        <v>25</v>
      </c>
      <c r="E23" s="160">
        <f t="shared" si="3"/>
        <v>244</v>
      </c>
      <c r="F23" s="174">
        <f t="shared" si="0"/>
        <v>0.88086642599277976</v>
      </c>
      <c r="G23" s="161"/>
      <c r="H23" s="161"/>
      <c r="I23" s="161"/>
      <c r="J23" s="161"/>
      <c r="K23" s="161"/>
      <c r="L23" s="161"/>
    </row>
    <row r="24" spans="2:12">
      <c r="B24" s="159">
        <v>43814</v>
      </c>
      <c r="C24" s="159">
        <v>43820</v>
      </c>
      <c r="D24" s="160">
        <v>5</v>
      </c>
      <c r="E24" s="160">
        <f t="shared" si="3"/>
        <v>249</v>
      </c>
      <c r="F24" s="174">
        <f t="shared" si="0"/>
        <v>0.89891696750902528</v>
      </c>
      <c r="G24" s="161"/>
      <c r="H24" s="161"/>
      <c r="I24" s="161"/>
      <c r="J24" s="161"/>
      <c r="K24" s="161"/>
      <c r="L24" s="161"/>
    </row>
    <row r="25" spans="2:12">
      <c r="B25" s="159">
        <v>43821</v>
      </c>
      <c r="C25" s="159">
        <v>43827</v>
      </c>
      <c r="D25" s="160">
        <v>12</v>
      </c>
      <c r="E25" s="160">
        <f t="shared" si="3"/>
        <v>261</v>
      </c>
      <c r="F25" s="174">
        <f t="shared" si="0"/>
        <v>0.9422382671480144</v>
      </c>
      <c r="G25" s="161"/>
      <c r="H25" s="161"/>
      <c r="I25" s="161"/>
      <c r="J25" s="161"/>
      <c r="K25" s="161"/>
      <c r="L25" s="161"/>
    </row>
    <row r="26" spans="2:12">
      <c r="B26" s="159">
        <v>43828</v>
      </c>
      <c r="C26" s="159">
        <v>43834</v>
      </c>
      <c r="D26" s="160">
        <v>4</v>
      </c>
      <c r="E26" s="160">
        <f t="shared" si="3"/>
        <v>265</v>
      </c>
      <c r="F26" s="174">
        <f t="shared" si="0"/>
        <v>0.95667870036101088</v>
      </c>
      <c r="G26" s="161"/>
      <c r="H26" s="161"/>
      <c r="I26" s="161"/>
      <c r="J26" s="161"/>
      <c r="K26" s="161"/>
      <c r="L26" s="161"/>
    </row>
    <row r="27" spans="2:12">
      <c r="B27" s="159">
        <v>43835</v>
      </c>
      <c r="C27" s="159">
        <v>43841</v>
      </c>
      <c r="D27" s="160">
        <v>5</v>
      </c>
      <c r="E27" s="160">
        <f t="shared" si="3"/>
        <v>270</v>
      </c>
      <c r="F27" s="174">
        <f t="shared" si="0"/>
        <v>0.97472924187725629</v>
      </c>
      <c r="G27" s="161"/>
      <c r="H27" s="161"/>
      <c r="I27" s="161"/>
      <c r="J27" s="161"/>
      <c r="K27" s="161"/>
      <c r="L27" s="161"/>
    </row>
    <row r="28" spans="2:12">
      <c r="B28" s="159">
        <v>43842</v>
      </c>
      <c r="C28" s="159">
        <v>43848</v>
      </c>
      <c r="D28" s="160">
        <v>7</v>
      </c>
      <c r="E28" s="160">
        <f t="shared" si="3"/>
        <v>277</v>
      </c>
      <c r="F28" s="174">
        <f t="shared" si="0"/>
        <v>1</v>
      </c>
      <c r="G28" s="161"/>
      <c r="H28" s="161"/>
      <c r="I28" s="161"/>
      <c r="J28" s="161"/>
      <c r="K28" s="161"/>
      <c r="L28" s="161"/>
    </row>
    <row r="29" spans="2:12">
      <c r="C29" s="170" t="s">
        <v>1214</v>
      </c>
      <c r="D29" s="170">
        <f>SUM(D7:D28)</f>
        <v>277</v>
      </c>
      <c r="G29" s="139">
        <f>SUM(G7:G28)</f>
        <v>35.6</v>
      </c>
      <c r="J29" s="139">
        <f>SUM(J7:J28)</f>
        <v>0</v>
      </c>
    </row>
  </sheetData>
  <dataConsolidate/>
  <phoneticPr fontId="2" type="noConversion"/>
  <pageMargins left="0.7" right="0.7" top="0.75" bottom="0.75" header="0.3" footer="0.3"/>
  <pageSetup paperSize="9" orientation="portrait"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305"/>
  <sheetViews>
    <sheetView showGridLines="0" zoomScale="85" zoomScaleNormal="85" workbookViewId="0">
      <pane ySplit="1" topLeftCell="A2" activePane="bottomLeft" state="frozenSplit"/>
      <selection pane="bottomLeft" activeCell="E24" sqref="E24"/>
    </sheetView>
  </sheetViews>
  <sheetFormatPr defaultColWidth="10" defaultRowHeight="14.4"/>
  <cols>
    <col min="1" max="1" width="31.59765625" style="80" customWidth="1"/>
    <col min="2" max="2" width="14.5" style="80" customWidth="1"/>
    <col min="3" max="3" width="7.59765625" style="80" customWidth="1"/>
    <col min="4" max="4" width="21.5" style="80" customWidth="1"/>
    <col min="5" max="5" width="14.09765625" style="80" customWidth="1"/>
    <col min="6" max="6" width="10" style="80"/>
    <col min="7" max="7" width="24.19921875" style="80" customWidth="1"/>
    <col min="8" max="8" width="18.3984375" style="80" bestFit="1" customWidth="1"/>
    <col min="9" max="9" width="11.09765625" style="80" bestFit="1" customWidth="1"/>
    <col min="10" max="10" width="27.3984375" style="80" bestFit="1" customWidth="1"/>
    <col min="11" max="19" width="10" style="80"/>
    <col min="20" max="23" width="10" style="80" customWidth="1"/>
    <col min="24" max="16384" width="10" style="80"/>
  </cols>
  <sheetData>
    <row r="1" spans="1:9" s="76" customFormat="1" ht="36.9" customHeight="1">
      <c r="A1" s="13" t="s">
        <v>1113</v>
      </c>
      <c r="B1" s="13"/>
      <c r="C1" s="13"/>
      <c r="D1" s="13"/>
      <c r="E1" s="13"/>
      <c r="F1" s="13"/>
      <c r="G1" s="13"/>
      <c r="H1" s="13"/>
    </row>
    <row r="2" spans="1:9" s="77" customFormat="1" ht="78.75" customHeight="1">
      <c r="A2" s="280" t="s">
        <v>1114</v>
      </c>
      <c r="B2" s="280"/>
      <c r="C2" s="280"/>
      <c r="D2" s="280"/>
      <c r="E2" s="280"/>
      <c r="F2" s="280"/>
      <c r="G2" s="280"/>
      <c r="H2" s="280"/>
    </row>
    <row r="3" spans="1:9" s="77" customFormat="1" ht="24.75" customHeight="1">
      <c r="A3" s="281" t="s">
        <v>1115</v>
      </c>
      <c r="B3" s="281"/>
      <c r="D3" s="281" t="s">
        <v>1116</v>
      </c>
      <c r="E3" s="281"/>
      <c r="G3" s="281" t="s">
        <v>1117</v>
      </c>
      <c r="H3" s="281"/>
    </row>
    <row r="4" spans="1:9" s="79" customFormat="1" ht="19.5" customHeight="1">
      <c r="A4" s="78" t="s">
        <v>1118</v>
      </c>
      <c r="B4" s="78" t="s">
        <v>1119</v>
      </c>
      <c r="D4" s="78" t="s">
        <v>1118</v>
      </c>
      <c r="E4" s="78" t="s">
        <v>1119</v>
      </c>
      <c r="G4" s="78" t="s">
        <v>1118</v>
      </c>
      <c r="H4" s="78" t="s">
        <v>1119</v>
      </c>
    </row>
    <row r="5" spans="1:9" s="164" customFormat="1" ht="17.399999999999999">
      <c r="A5" s="162" t="s">
        <v>1217</v>
      </c>
      <c r="B5" s="163">
        <v>43466</v>
      </c>
      <c r="C5" s="164" t="str">
        <f t="shared" ref="C5:C68" si="0">IF(B5&gt;0,TEXT(B5,"(aaa)"),"")</f>
        <v>(화)</v>
      </c>
      <c r="D5" s="165"/>
      <c r="E5" s="166"/>
      <c r="F5" s="164" t="str">
        <f t="shared" ref="F5:F68" si="1">IF(E5&gt;0,TEXT(E5,"(aaa)"),"")</f>
        <v/>
      </c>
      <c r="G5" s="165"/>
      <c r="H5" s="166"/>
      <c r="I5" s="164" t="str">
        <f t="shared" ref="I5:I68" si="2">IF(H5&gt;0,TEXT(H5,"(aaa)"),"")</f>
        <v/>
      </c>
    </row>
    <row r="6" spans="1:9" s="164" customFormat="1" ht="17.399999999999999">
      <c r="A6" s="162" t="s">
        <v>1218</v>
      </c>
      <c r="B6" s="163">
        <v>43500</v>
      </c>
      <c r="C6" s="164" t="str">
        <f t="shared" si="0"/>
        <v>(월)</v>
      </c>
      <c r="D6" s="165"/>
      <c r="E6" s="166"/>
      <c r="F6" s="164" t="str">
        <f t="shared" si="1"/>
        <v/>
      </c>
      <c r="G6" s="165"/>
      <c r="H6" s="166"/>
      <c r="I6" s="164" t="str">
        <f t="shared" si="2"/>
        <v/>
      </c>
    </row>
    <row r="7" spans="1:9" s="164" customFormat="1" ht="17.399999999999999">
      <c r="A7" s="162" t="s">
        <v>1219</v>
      </c>
      <c r="B7" s="163">
        <v>43501</v>
      </c>
      <c r="C7" s="164" t="str">
        <f t="shared" si="0"/>
        <v>(화)</v>
      </c>
      <c r="D7" s="165"/>
      <c r="E7" s="166"/>
      <c r="F7" s="164" t="str">
        <f t="shared" si="1"/>
        <v/>
      </c>
      <c r="G7" s="165"/>
      <c r="H7" s="166"/>
      <c r="I7" s="164" t="str">
        <f t="shared" si="2"/>
        <v/>
      </c>
    </row>
    <row r="8" spans="1:9" s="164" customFormat="1" ht="17.399999999999999">
      <c r="A8" s="162" t="s">
        <v>1218</v>
      </c>
      <c r="B8" s="163">
        <v>43502</v>
      </c>
      <c r="C8" s="164" t="str">
        <f t="shared" si="0"/>
        <v>(수)</v>
      </c>
      <c r="D8" s="165"/>
      <c r="E8" s="166"/>
      <c r="F8" s="164" t="str">
        <f t="shared" si="1"/>
        <v/>
      </c>
      <c r="G8" s="165"/>
      <c r="H8" s="166"/>
      <c r="I8" s="164" t="str">
        <f t="shared" si="2"/>
        <v/>
      </c>
    </row>
    <row r="9" spans="1:9" s="164" customFormat="1" ht="17.399999999999999">
      <c r="A9" s="162" t="s">
        <v>1220</v>
      </c>
      <c r="B9" s="163">
        <v>43525</v>
      </c>
      <c r="C9" s="164" t="str">
        <f t="shared" si="0"/>
        <v>(금)</v>
      </c>
      <c r="D9" s="165"/>
      <c r="E9" s="166"/>
      <c r="F9" s="164" t="str">
        <f t="shared" si="1"/>
        <v/>
      </c>
      <c r="G9" s="165"/>
      <c r="H9" s="166"/>
      <c r="I9" s="164" t="str">
        <f t="shared" si="2"/>
        <v/>
      </c>
    </row>
    <row r="10" spans="1:9" s="164" customFormat="1" ht="17.399999999999999">
      <c r="A10" s="162" t="s">
        <v>1221</v>
      </c>
      <c r="B10" s="163">
        <v>43591</v>
      </c>
      <c r="C10" s="164" t="str">
        <f t="shared" si="0"/>
        <v>(월)</v>
      </c>
      <c r="D10" s="165"/>
      <c r="E10" s="166"/>
      <c r="F10" s="164" t="str">
        <f t="shared" si="1"/>
        <v/>
      </c>
      <c r="G10" s="165"/>
      <c r="H10" s="166"/>
      <c r="I10" s="164" t="str">
        <f t="shared" si="2"/>
        <v/>
      </c>
    </row>
    <row r="11" spans="1:9" s="164" customFormat="1" ht="17.399999999999999">
      <c r="A11" s="162" t="s">
        <v>1222</v>
      </c>
      <c r="B11" s="163">
        <v>43622</v>
      </c>
      <c r="C11" s="164" t="str">
        <f t="shared" si="0"/>
        <v>(목)</v>
      </c>
      <c r="D11" s="165"/>
      <c r="E11" s="166"/>
      <c r="F11" s="164" t="str">
        <f t="shared" si="1"/>
        <v/>
      </c>
      <c r="G11" s="165"/>
      <c r="H11" s="166"/>
      <c r="I11" s="164" t="str">
        <f t="shared" si="2"/>
        <v/>
      </c>
    </row>
    <row r="12" spans="1:9" s="164" customFormat="1" ht="17.399999999999999">
      <c r="A12" s="162" t="s">
        <v>1223</v>
      </c>
      <c r="B12" s="163">
        <v>43692</v>
      </c>
      <c r="C12" s="164" t="str">
        <f t="shared" si="0"/>
        <v>(목)</v>
      </c>
      <c r="D12" s="165"/>
      <c r="E12" s="166"/>
      <c r="F12" s="164" t="str">
        <f t="shared" si="1"/>
        <v/>
      </c>
      <c r="G12" s="165"/>
      <c r="H12" s="166"/>
      <c r="I12" s="164" t="str">
        <f t="shared" si="2"/>
        <v/>
      </c>
    </row>
    <row r="13" spans="1:9" s="164" customFormat="1" ht="17.399999999999999">
      <c r="A13" s="162" t="s">
        <v>1224</v>
      </c>
      <c r="B13" s="163">
        <v>43720</v>
      </c>
      <c r="C13" s="164" t="str">
        <f t="shared" si="0"/>
        <v>(목)</v>
      </c>
      <c r="D13" s="165"/>
      <c r="E13" s="166"/>
      <c r="F13" s="164" t="str">
        <f t="shared" si="1"/>
        <v/>
      </c>
      <c r="G13" s="165"/>
      <c r="H13" s="166"/>
      <c r="I13" s="164" t="str">
        <f t="shared" si="2"/>
        <v/>
      </c>
    </row>
    <row r="14" spans="1:9" s="164" customFormat="1" ht="17.399999999999999">
      <c r="A14" s="162" t="s">
        <v>1225</v>
      </c>
      <c r="B14" s="163">
        <v>43721</v>
      </c>
      <c r="C14" s="164" t="str">
        <f t="shared" si="0"/>
        <v>(금)</v>
      </c>
      <c r="D14" s="165"/>
      <c r="E14" s="166"/>
      <c r="F14" s="164" t="str">
        <f t="shared" si="1"/>
        <v/>
      </c>
      <c r="G14" s="165"/>
      <c r="H14" s="166"/>
      <c r="I14" s="164" t="str">
        <f t="shared" si="2"/>
        <v/>
      </c>
    </row>
    <row r="15" spans="1:9" s="164" customFormat="1" ht="17.399999999999999">
      <c r="A15" s="162" t="s">
        <v>1226</v>
      </c>
      <c r="B15" s="163">
        <v>43741</v>
      </c>
      <c r="C15" s="164" t="str">
        <f t="shared" si="0"/>
        <v>(목)</v>
      </c>
      <c r="D15" s="165"/>
      <c r="E15" s="166"/>
      <c r="F15" s="164" t="str">
        <f t="shared" si="1"/>
        <v/>
      </c>
      <c r="G15" s="165"/>
      <c r="H15" s="166"/>
      <c r="I15" s="164" t="str">
        <f t="shared" si="2"/>
        <v/>
      </c>
    </row>
    <row r="16" spans="1:9" s="164" customFormat="1" ht="17.399999999999999">
      <c r="A16" s="162" t="s">
        <v>1227</v>
      </c>
      <c r="B16" s="163">
        <v>43747</v>
      </c>
      <c r="C16" s="164" t="str">
        <f t="shared" si="0"/>
        <v>(수)</v>
      </c>
      <c r="D16" s="165"/>
      <c r="E16" s="166"/>
      <c r="F16" s="164" t="str">
        <f t="shared" si="1"/>
        <v/>
      </c>
      <c r="G16" s="165"/>
      <c r="H16" s="166"/>
      <c r="I16" s="164" t="str">
        <f t="shared" si="2"/>
        <v/>
      </c>
    </row>
    <row r="17" spans="1:10" s="164" customFormat="1" ht="17.399999999999999">
      <c r="A17" s="162" t="s">
        <v>1228</v>
      </c>
      <c r="B17" s="163">
        <v>43824</v>
      </c>
      <c r="C17" s="164" t="str">
        <f t="shared" si="0"/>
        <v>(수)</v>
      </c>
      <c r="D17" s="165"/>
      <c r="E17" s="166"/>
      <c r="F17" s="164" t="str">
        <f t="shared" si="1"/>
        <v/>
      </c>
      <c r="G17" s="165"/>
      <c r="H17" s="166"/>
      <c r="I17" s="164" t="str">
        <f t="shared" si="2"/>
        <v/>
      </c>
    </row>
    <row r="18" spans="1:10" s="164" customFormat="1" ht="17.399999999999999">
      <c r="A18" s="162" t="s">
        <v>1215</v>
      </c>
      <c r="B18" s="163">
        <v>43831</v>
      </c>
      <c r="C18" s="164" t="str">
        <f t="shared" si="0"/>
        <v>(수)</v>
      </c>
      <c r="D18" s="165"/>
      <c r="E18" s="166"/>
      <c r="F18" s="164" t="str">
        <f t="shared" si="1"/>
        <v/>
      </c>
      <c r="G18" s="165"/>
      <c r="H18" s="166"/>
      <c r="I18" s="164" t="str">
        <f t="shared" si="2"/>
        <v/>
      </c>
    </row>
    <row r="19" spans="1:10" s="164" customFormat="1" ht="19.2">
      <c r="A19" s="162" t="s">
        <v>1216</v>
      </c>
      <c r="B19" s="163">
        <v>43854</v>
      </c>
      <c r="C19" s="164" t="str">
        <f t="shared" si="0"/>
        <v>(금)</v>
      </c>
      <c r="D19" s="165"/>
      <c r="E19" s="166"/>
      <c r="F19" s="164" t="str">
        <f t="shared" si="1"/>
        <v/>
      </c>
      <c r="G19" s="165"/>
      <c r="H19" s="166"/>
      <c r="I19" s="164" t="str">
        <f t="shared" si="2"/>
        <v/>
      </c>
      <c r="J19" s="167"/>
    </row>
    <row r="20" spans="1:10" s="164" customFormat="1" ht="19.2">
      <c r="A20" s="162" t="s">
        <v>1229</v>
      </c>
      <c r="B20" s="163">
        <v>43857</v>
      </c>
      <c r="C20" s="164" t="str">
        <f t="shared" si="0"/>
        <v>(월)</v>
      </c>
      <c r="D20" s="165"/>
      <c r="E20" s="166"/>
      <c r="F20" s="164" t="str">
        <f t="shared" si="1"/>
        <v/>
      </c>
      <c r="G20" s="165"/>
      <c r="H20" s="166"/>
      <c r="I20" s="164" t="str">
        <f t="shared" si="2"/>
        <v/>
      </c>
      <c r="J20" s="167"/>
    </row>
    <row r="21" spans="1:10" s="164" customFormat="1" ht="17.399999999999999">
      <c r="A21" s="162" t="s">
        <v>1230</v>
      </c>
      <c r="B21" s="163">
        <v>43936</v>
      </c>
      <c r="C21" s="164" t="str">
        <f t="shared" si="0"/>
        <v>(수)</v>
      </c>
      <c r="D21" s="165"/>
      <c r="E21" s="166"/>
      <c r="F21" s="164" t="str">
        <f t="shared" si="1"/>
        <v/>
      </c>
      <c r="G21" s="165"/>
      <c r="H21" s="166"/>
      <c r="I21" s="164" t="str">
        <f t="shared" si="2"/>
        <v/>
      </c>
    </row>
    <row r="22" spans="1:10" s="164" customFormat="1" ht="17.399999999999999">
      <c r="A22" s="162" t="s">
        <v>1231</v>
      </c>
      <c r="B22" s="163">
        <v>43951</v>
      </c>
      <c r="C22" s="164" t="str">
        <f t="shared" si="0"/>
        <v>(목)</v>
      </c>
      <c r="D22" s="165"/>
      <c r="E22" s="166"/>
      <c r="F22" s="164" t="str">
        <f t="shared" si="1"/>
        <v/>
      </c>
      <c r="G22" s="165"/>
      <c r="H22" s="166"/>
      <c r="I22" s="164" t="str">
        <f t="shared" si="2"/>
        <v/>
      </c>
    </row>
    <row r="23" spans="1:10" s="164" customFormat="1" ht="17.399999999999999">
      <c r="A23" s="162" t="s">
        <v>1232</v>
      </c>
      <c r="B23" s="163">
        <v>43956</v>
      </c>
      <c r="C23" s="164" t="str">
        <f t="shared" si="0"/>
        <v>(화)</v>
      </c>
      <c r="D23" s="165"/>
      <c r="E23" s="166"/>
      <c r="F23" s="164" t="str">
        <f t="shared" si="1"/>
        <v/>
      </c>
      <c r="G23" s="165"/>
      <c r="H23" s="166"/>
      <c r="I23" s="164" t="str">
        <f t="shared" si="2"/>
        <v/>
      </c>
    </row>
    <row r="24" spans="1:10" s="164" customFormat="1" ht="17.399999999999999">
      <c r="A24" s="162" t="s">
        <v>1234</v>
      </c>
      <c r="B24" s="163">
        <v>44104</v>
      </c>
      <c r="C24" s="164" t="str">
        <f t="shared" si="0"/>
        <v>(수)</v>
      </c>
      <c r="D24" s="165"/>
      <c r="E24" s="166"/>
      <c r="F24" s="164" t="str">
        <f t="shared" si="1"/>
        <v/>
      </c>
      <c r="G24" s="165"/>
      <c r="H24" s="166"/>
      <c r="I24" s="164" t="str">
        <f t="shared" si="2"/>
        <v/>
      </c>
    </row>
    <row r="25" spans="1:10" s="164" customFormat="1" ht="17.399999999999999">
      <c r="A25" s="162" t="s">
        <v>1235</v>
      </c>
      <c r="B25" s="163">
        <v>44105</v>
      </c>
      <c r="C25" s="164" t="str">
        <f t="shared" si="0"/>
        <v>(목)</v>
      </c>
      <c r="D25" s="165"/>
      <c r="E25" s="166"/>
      <c r="F25" s="164" t="str">
        <f t="shared" si="1"/>
        <v/>
      </c>
      <c r="G25" s="165"/>
      <c r="H25" s="166"/>
      <c r="I25" s="164" t="str">
        <f t="shared" si="2"/>
        <v/>
      </c>
    </row>
    <row r="26" spans="1:10" s="164" customFormat="1" ht="17.399999999999999">
      <c r="A26" s="162" t="s">
        <v>1234</v>
      </c>
      <c r="B26" s="163">
        <v>44106</v>
      </c>
      <c r="C26" s="164" t="str">
        <f t="shared" si="0"/>
        <v>(금)</v>
      </c>
      <c r="D26" s="165"/>
      <c r="E26" s="166"/>
      <c r="F26" s="164" t="str">
        <f t="shared" si="1"/>
        <v/>
      </c>
      <c r="G26" s="165"/>
      <c r="H26" s="166"/>
      <c r="I26" s="164" t="str">
        <f t="shared" si="2"/>
        <v/>
      </c>
    </row>
    <row r="27" spans="1:10" s="164" customFormat="1" ht="17.399999999999999">
      <c r="A27" s="162" t="s">
        <v>1236</v>
      </c>
      <c r="B27" s="163">
        <v>44113</v>
      </c>
      <c r="C27" s="164" t="str">
        <f t="shared" si="0"/>
        <v>(금)</v>
      </c>
      <c r="D27" s="165"/>
      <c r="E27" s="166"/>
      <c r="F27" s="164" t="str">
        <f t="shared" si="1"/>
        <v/>
      </c>
      <c r="G27" s="165"/>
      <c r="H27" s="166"/>
      <c r="I27" s="164" t="str">
        <f t="shared" si="2"/>
        <v/>
      </c>
    </row>
    <row r="28" spans="1:10" s="164" customFormat="1" ht="17.399999999999999">
      <c r="A28" s="162" t="s">
        <v>1237</v>
      </c>
      <c r="B28" s="163">
        <v>44190</v>
      </c>
      <c r="C28" s="164" t="str">
        <f t="shared" si="0"/>
        <v>(금)</v>
      </c>
      <c r="D28" s="165"/>
      <c r="E28" s="166"/>
      <c r="F28" s="164" t="str">
        <f t="shared" si="1"/>
        <v/>
      </c>
      <c r="G28" s="165"/>
      <c r="H28" s="166"/>
      <c r="I28" s="164" t="str">
        <f t="shared" si="2"/>
        <v/>
      </c>
    </row>
    <row r="29" spans="1:10" s="164" customFormat="1" ht="17.399999999999999">
      <c r="A29" s="162"/>
      <c r="B29" s="163"/>
      <c r="C29" s="164" t="str">
        <f t="shared" si="0"/>
        <v/>
      </c>
      <c r="D29" s="165"/>
      <c r="E29" s="166"/>
      <c r="F29" s="164" t="str">
        <f t="shared" si="1"/>
        <v/>
      </c>
      <c r="G29" s="165"/>
      <c r="H29" s="166"/>
      <c r="I29" s="164" t="str">
        <f t="shared" si="2"/>
        <v/>
      </c>
    </row>
    <row r="30" spans="1:10" s="164" customFormat="1" ht="17.399999999999999">
      <c r="A30" s="162"/>
      <c r="B30" s="163"/>
      <c r="C30" s="164" t="str">
        <f t="shared" si="0"/>
        <v/>
      </c>
      <c r="D30" s="165"/>
      <c r="E30" s="166"/>
      <c r="F30" s="164" t="str">
        <f t="shared" si="1"/>
        <v/>
      </c>
      <c r="G30" s="165"/>
      <c r="H30" s="166"/>
      <c r="I30" s="164" t="str">
        <f t="shared" si="2"/>
        <v/>
      </c>
    </row>
    <row r="31" spans="1:10" s="164" customFormat="1" ht="17.399999999999999">
      <c r="A31" s="162"/>
      <c r="B31" s="163"/>
      <c r="C31" s="164" t="str">
        <f t="shared" si="0"/>
        <v/>
      </c>
      <c r="D31" s="165"/>
      <c r="E31" s="166"/>
      <c r="F31" s="164" t="str">
        <f t="shared" si="1"/>
        <v/>
      </c>
      <c r="G31" s="165"/>
      <c r="H31" s="166"/>
      <c r="I31" s="164" t="str">
        <f t="shared" si="2"/>
        <v/>
      </c>
    </row>
    <row r="32" spans="1:10" s="164" customFormat="1" ht="17.399999999999999">
      <c r="A32" s="162"/>
      <c r="B32" s="163"/>
      <c r="C32" s="164" t="str">
        <f t="shared" si="0"/>
        <v/>
      </c>
      <c r="D32" s="165"/>
      <c r="E32" s="166"/>
      <c r="F32" s="164" t="str">
        <f t="shared" si="1"/>
        <v/>
      </c>
      <c r="G32" s="165"/>
      <c r="H32" s="166"/>
      <c r="I32" s="164" t="str">
        <f t="shared" si="2"/>
        <v/>
      </c>
    </row>
    <row r="33" spans="1:9" s="164" customFormat="1" ht="17.399999999999999">
      <c r="A33" s="162"/>
      <c r="B33" s="163"/>
      <c r="C33" s="164" t="str">
        <f t="shared" si="0"/>
        <v/>
      </c>
      <c r="D33" s="165"/>
      <c r="E33" s="166"/>
      <c r="F33" s="164" t="str">
        <f t="shared" si="1"/>
        <v/>
      </c>
      <c r="G33" s="165"/>
      <c r="H33" s="166"/>
      <c r="I33" s="164" t="str">
        <f t="shared" si="2"/>
        <v/>
      </c>
    </row>
    <row r="34" spans="1:9" s="164" customFormat="1" ht="17.399999999999999">
      <c r="A34" s="162"/>
      <c r="B34" s="163"/>
      <c r="C34" s="164" t="str">
        <f t="shared" si="0"/>
        <v/>
      </c>
      <c r="D34" s="165"/>
      <c r="E34" s="166"/>
      <c r="F34" s="164" t="str">
        <f t="shared" si="1"/>
        <v/>
      </c>
      <c r="G34" s="165"/>
      <c r="H34" s="166"/>
      <c r="I34" s="164" t="str">
        <f t="shared" si="2"/>
        <v/>
      </c>
    </row>
    <row r="35" spans="1:9" s="164" customFormat="1" ht="17.399999999999999">
      <c r="A35" s="162"/>
      <c r="B35" s="163"/>
      <c r="C35" s="164" t="str">
        <f t="shared" si="0"/>
        <v/>
      </c>
      <c r="D35" s="165"/>
      <c r="E35" s="166"/>
      <c r="F35" s="164" t="str">
        <f t="shared" si="1"/>
        <v/>
      </c>
      <c r="G35" s="165"/>
      <c r="H35" s="166"/>
      <c r="I35" s="164" t="str">
        <f t="shared" si="2"/>
        <v/>
      </c>
    </row>
    <row r="36" spans="1:9" s="164" customFormat="1" ht="17.399999999999999">
      <c r="A36" s="162"/>
      <c r="B36" s="163"/>
      <c r="C36" s="164" t="str">
        <f t="shared" si="0"/>
        <v/>
      </c>
      <c r="D36" s="165"/>
      <c r="E36" s="166"/>
      <c r="F36" s="164" t="str">
        <f t="shared" si="1"/>
        <v/>
      </c>
      <c r="G36" s="165"/>
      <c r="H36" s="166"/>
      <c r="I36" s="164" t="str">
        <f t="shared" si="2"/>
        <v/>
      </c>
    </row>
    <row r="37" spans="1:9" s="164" customFormat="1" ht="17.399999999999999">
      <c r="A37" s="162"/>
      <c r="B37" s="163"/>
      <c r="C37" s="164" t="str">
        <f t="shared" si="0"/>
        <v/>
      </c>
      <c r="D37" s="165"/>
      <c r="E37" s="166"/>
      <c r="F37" s="164" t="str">
        <f t="shared" si="1"/>
        <v/>
      </c>
      <c r="G37" s="165"/>
      <c r="H37" s="166"/>
      <c r="I37" s="164" t="str">
        <f t="shared" si="2"/>
        <v/>
      </c>
    </row>
    <row r="38" spans="1:9" s="164" customFormat="1" ht="17.399999999999999">
      <c r="A38" s="162"/>
      <c r="B38" s="163"/>
      <c r="C38" s="164" t="str">
        <f t="shared" si="0"/>
        <v/>
      </c>
      <c r="D38" s="165"/>
      <c r="E38" s="166"/>
      <c r="F38" s="164" t="str">
        <f t="shared" si="1"/>
        <v/>
      </c>
      <c r="G38" s="165"/>
      <c r="H38" s="166"/>
      <c r="I38" s="164" t="str">
        <f t="shared" si="2"/>
        <v/>
      </c>
    </row>
    <row r="39" spans="1:9" s="164" customFormat="1" ht="17.399999999999999">
      <c r="A39" s="162"/>
      <c r="B39" s="163"/>
      <c r="C39" s="164" t="str">
        <f t="shared" si="0"/>
        <v/>
      </c>
      <c r="D39" s="165"/>
      <c r="E39" s="166"/>
      <c r="F39" s="164" t="str">
        <f t="shared" si="1"/>
        <v/>
      </c>
      <c r="G39" s="165"/>
      <c r="H39" s="166"/>
      <c r="I39" s="164" t="str">
        <f t="shared" si="2"/>
        <v/>
      </c>
    </row>
    <row r="40" spans="1:9" s="164" customFormat="1" ht="17.399999999999999">
      <c r="A40" s="162"/>
      <c r="B40" s="163"/>
      <c r="C40" s="164" t="str">
        <f t="shared" si="0"/>
        <v/>
      </c>
      <c r="D40" s="165"/>
      <c r="E40" s="166"/>
      <c r="F40" s="164" t="str">
        <f t="shared" si="1"/>
        <v/>
      </c>
      <c r="G40" s="165"/>
      <c r="H40" s="166"/>
      <c r="I40" s="164" t="str">
        <f t="shared" si="2"/>
        <v/>
      </c>
    </row>
    <row r="41" spans="1:9" s="164" customFormat="1" ht="17.399999999999999">
      <c r="A41" s="162"/>
      <c r="B41" s="163"/>
      <c r="C41" s="164" t="str">
        <f t="shared" si="0"/>
        <v/>
      </c>
      <c r="D41" s="165"/>
      <c r="E41" s="166"/>
      <c r="F41" s="164" t="str">
        <f t="shared" si="1"/>
        <v/>
      </c>
      <c r="G41" s="165"/>
      <c r="H41" s="166"/>
      <c r="I41" s="164" t="str">
        <f t="shared" si="2"/>
        <v/>
      </c>
    </row>
    <row r="42" spans="1:9" s="164" customFormat="1" ht="17.399999999999999">
      <c r="A42" s="162"/>
      <c r="B42" s="163"/>
      <c r="C42" s="164" t="str">
        <f t="shared" si="0"/>
        <v/>
      </c>
      <c r="D42" s="165"/>
      <c r="E42" s="166"/>
      <c r="F42" s="164" t="str">
        <f t="shared" si="1"/>
        <v/>
      </c>
      <c r="G42" s="165"/>
      <c r="H42" s="166"/>
      <c r="I42" s="164" t="str">
        <f t="shared" si="2"/>
        <v/>
      </c>
    </row>
    <row r="43" spans="1:9" s="164" customFormat="1" ht="17.399999999999999">
      <c r="A43" s="162"/>
      <c r="B43" s="163"/>
      <c r="C43" s="164" t="str">
        <f t="shared" si="0"/>
        <v/>
      </c>
      <c r="D43" s="165"/>
      <c r="E43" s="166"/>
      <c r="F43" s="164" t="str">
        <f t="shared" si="1"/>
        <v/>
      </c>
      <c r="G43" s="165"/>
      <c r="H43" s="166"/>
      <c r="I43" s="164" t="str">
        <f t="shared" si="2"/>
        <v/>
      </c>
    </row>
    <row r="44" spans="1:9" s="164" customFormat="1" ht="17.399999999999999">
      <c r="A44" s="162"/>
      <c r="B44" s="163"/>
      <c r="C44" s="164" t="str">
        <f t="shared" si="0"/>
        <v/>
      </c>
      <c r="D44" s="165"/>
      <c r="E44" s="166"/>
      <c r="F44" s="164" t="str">
        <f t="shared" si="1"/>
        <v/>
      </c>
      <c r="G44" s="165"/>
      <c r="H44" s="166"/>
      <c r="I44" s="164" t="str">
        <f t="shared" si="2"/>
        <v/>
      </c>
    </row>
    <row r="45" spans="1:9" s="164" customFormat="1" ht="17.399999999999999">
      <c r="A45" s="162"/>
      <c r="B45" s="163"/>
      <c r="C45" s="164" t="str">
        <f t="shared" si="0"/>
        <v/>
      </c>
      <c r="D45" s="165"/>
      <c r="E45" s="166"/>
      <c r="F45" s="164" t="str">
        <f t="shared" si="1"/>
        <v/>
      </c>
      <c r="G45" s="165"/>
      <c r="H45" s="166"/>
      <c r="I45" s="164" t="str">
        <f t="shared" si="2"/>
        <v/>
      </c>
    </row>
    <row r="46" spans="1:9" s="164" customFormat="1" ht="17.399999999999999">
      <c r="A46" s="162"/>
      <c r="B46" s="163"/>
      <c r="C46" s="164" t="str">
        <f t="shared" si="0"/>
        <v/>
      </c>
      <c r="D46" s="165"/>
      <c r="E46" s="166"/>
      <c r="F46" s="164" t="str">
        <f t="shared" si="1"/>
        <v/>
      </c>
      <c r="G46" s="165"/>
      <c r="H46" s="166"/>
      <c r="I46" s="164" t="str">
        <f t="shared" si="2"/>
        <v/>
      </c>
    </row>
    <row r="47" spans="1:9" s="164" customFormat="1" ht="17.399999999999999">
      <c r="A47" s="162"/>
      <c r="B47" s="163"/>
      <c r="C47" s="164" t="str">
        <f t="shared" si="0"/>
        <v/>
      </c>
      <c r="D47" s="165"/>
      <c r="E47" s="166"/>
      <c r="F47" s="164" t="str">
        <f t="shared" si="1"/>
        <v/>
      </c>
      <c r="G47" s="165"/>
      <c r="H47" s="166"/>
      <c r="I47" s="164" t="str">
        <f t="shared" si="2"/>
        <v/>
      </c>
    </row>
    <row r="48" spans="1:9" s="164" customFormat="1" ht="17.399999999999999">
      <c r="A48" s="162"/>
      <c r="B48" s="163"/>
      <c r="C48" s="164" t="str">
        <f t="shared" si="0"/>
        <v/>
      </c>
      <c r="D48" s="165"/>
      <c r="E48" s="166"/>
      <c r="F48" s="164" t="str">
        <f t="shared" si="1"/>
        <v/>
      </c>
      <c r="G48" s="165"/>
      <c r="H48" s="166"/>
      <c r="I48" s="164" t="str">
        <f t="shared" si="2"/>
        <v/>
      </c>
    </row>
    <row r="49" spans="1:9" s="164" customFormat="1" ht="17.399999999999999">
      <c r="A49" s="162"/>
      <c r="B49" s="163"/>
      <c r="C49" s="164" t="str">
        <f t="shared" si="0"/>
        <v/>
      </c>
      <c r="D49" s="165"/>
      <c r="E49" s="166"/>
      <c r="F49" s="164" t="str">
        <f t="shared" si="1"/>
        <v/>
      </c>
      <c r="G49" s="165"/>
      <c r="H49" s="166"/>
      <c r="I49" s="164" t="str">
        <f t="shared" si="2"/>
        <v/>
      </c>
    </row>
    <row r="50" spans="1:9" s="164" customFormat="1" ht="17.399999999999999">
      <c r="A50" s="162"/>
      <c r="B50" s="163"/>
      <c r="C50" s="164" t="str">
        <f t="shared" si="0"/>
        <v/>
      </c>
      <c r="D50" s="165"/>
      <c r="E50" s="166"/>
      <c r="F50" s="164" t="str">
        <f t="shared" si="1"/>
        <v/>
      </c>
      <c r="G50" s="165"/>
      <c r="H50" s="166"/>
      <c r="I50" s="164" t="str">
        <f t="shared" si="2"/>
        <v/>
      </c>
    </row>
    <row r="51" spans="1:9" s="164" customFormat="1" ht="17.399999999999999">
      <c r="A51" s="162"/>
      <c r="B51" s="163"/>
      <c r="C51" s="164" t="str">
        <f t="shared" si="0"/>
        <v/>
      </c>
      <c r="D51" s="165"/>
      <c r="E51" s="166"/>
      <c r="F51" s="164" t="str">
        <f t="shared" si="1"/>
        <v/>
      </c>
      <c r="G51" s="165"/>
      <c r="H51" s="166"/>
      <c r="I51" s="164" t="str">
        <f t="shared" si="2"/>
        <v/>
      </c>
    </row>
    <row r="52" spans="1:9" s="164" customFormat="1" ht="17.399999999999999">
      <c r="A52" s="162"/>
      <c r="B52" s="163"/>
      <c r="C52" s="164" t="str">
        <f t="shared" si="0"/>
        <v/>
      </c>
      <c r="D52" s="165"/>
      <c r="E52" s="166"/>
      <c r="F52" s="164" t="str">
        <f t="shared" si="1"/>
        <v/>
      </c>
      <c r="G52" s="165"/>
      <c r="H52" s="166"/>
      <c r="I52" s="164" t="str">
        <f t="shared" si="2"/>
        <v/>
      </c>
    </row>
    <row r="53" spans="1:9" s="164" customFormat="1" ht="17.399999999999999">
      <c r="A53" s="162"/>
      <c r="B53" s="163"/>
      <c r="C53" s="164" t="str">
        <f t="shared" si="0"/>
        <v/>
      </c>
      <c r="D53" s="165"/>
      <c r="E53" s="166"/>
      <c r="F53" s="164" t="str">
        <f t="shared" si="1"/>
        <v/>
      </c>
      <c r="G53" s="165"/>
      <c r="H53" s="166"/>
      <c r="I53" s="164" t="str">
        <f t="shared" si="2"/>
        <v/>
      </c>
    </row>
    <row r="54" spans="1:9" s="164" customFormat="1" ht="17.399999999999999">
      <c r="A54" s="162"/>
      <c r="B54" s="163"/>
      <c r="C54" s="164" t="str">
        <f t="shared" si="0"/>
        <v/>
      </c>
      <c r="D54" s="165"/>
      <c r="E54" s="166"/>
      <c r="F54" s="164" t="str">
        <f t="shared" si="1"/>
        <v/>
      </c>
      <c r="G54" s="165"/>
      <c r="H54" s="166"/>
      <c r="I54" s="164" t="str">
        <f t="shared" si="2"/>
        <v/>
      </c>
    </row>
    <row r="55" spans="1:9" s="164" customFormat="1" ht="17.399999999999999">
      <c r="A55" s="162"/>
      <c r="B55" s="163"/>
      <c r="C55" s="164" t="str">
        <f t="shared" si="0"/>
        <v/>
      </c>
      <c r="D55" s="165"/>
      <c r="E55" s="166"/>
      <c r="F55" s="164" t="str">
        <f t="shared" si="1"/>
        <v/>
      </c>
      <c r="G55" s="165"/>
      <c r="H55" s="166"/>
      <c r="I55" s="164" t="str">
        <f t="shared" si="2"/>
        <v/>
      </c>
    </row>
    <row r="56" spans="1:9" s="164" customFormat="1" ht="17.399999999999999">
      <c r="A56" s="162"/>
      <c r="B56" s="163"/>
      <c r="C56" s="164" t="str">
        <f t="shared" si="0"/>
        <v/>
      </c>
      <c r="D56" s="165"/>
      <c r="E56" s="166"/>
      <c r="F56" s="164" t="str">
        <f t="shared" si="1"/>
        <v/>
      </c>
      <c r="G56" s="165"/>
      <c r="H56" s="166"/>
      <c r="I56" s="164" t="str">
        <f t="shared" si="2"/>
        <v/>
      </c>
    </row>
    <row r="57" spans="1:9" s="164" customFormat="1" ht="17.399999999999999">
      <c r="A57" s="162"/>
      <c r="B57" s="163"/>
      <c r="C57" s="164" t="str">
        <f t="shared" si="0"/>
        <v/>
      </c>
      <c r="D57" s="165"/>
      <c r="E57" s="166"/>
      <c r="F57" s="164" t="str">
        <f t="shared" si="1"/>
        <v/>
      </c>
      <c r="G57" s="165"/>
      <c r="H57" s="166"/>
      <c r="I57" s="164" t="str">
        <f t="shared" si="2"/>
        <v/>
      </c>
    </row>
    <row r="58" spans="1:9" s="164" customFormat="1" ht="17.399999999999999">
      <c r="A58" s="162"/>
      <c r="B58" s="163"/>
      <c r="C58" s="164" t="str">
        <f t="shared" si="0"/>
        <v/>
      </c>
      <c r="D58" s="165"/>
      <c r="E58" s="166"/>
      <c r="F58" s="164" t="str">
        <f t="shared" si="1"/>
        <v/>
      </c>
      <c r="G58" s="165"/>
      <c r="H58" s="166"/>
      <c r="I58" s="164" t="str">
        <f t="shared" si="2"/>
        <v/>
      </c>
    </row>
    <row r="59" spans="1:9" s="164" customFormat="1" ht="17.399999999999999">
      <c r="A59" s="162"/>
      <c r="B59" s="163"/>
      <c r="C59" s="164" t="str">
        <f t="shared" si="0"/>
        <v/>
      </c>
      <c r="D59" s="165"/>
      <c r="E59" s="166"/>
      <c r="F59" s="164" t="str">
        <f t="shared" si="1"/>
        <v/>
      </c>
      <c r="G59" s="165"/>
      <c r="H59" s="166"/>
      <c r="I59" s="164" t="str">
        <f t="shared" si="2"/>
        <v/>
      </c>
    </row>
    <row r="60" spans="1:9" s="164" customFormat="1" ht="17.399999999999999">
      <c r="A60" s="162"/>
      <c r="B60" s="163"/>
      <c r="C60" s="164" t="str">
        <f t="shared" si="0"/>
        <v/>
      </c>
      <c r="D60" s="165"/>
      <c r="E60" s="166"/>
      <c r="F60" s="164" t="str">
        <f t="shared" si="1"/>
        <v/>
      </c>
      <c r="G60" s="165"/>
      <c r="H60" s="166"/>
      <c r="I60" s="164" t="str">
        <f t="shared" si="2"/>
        <v/>
      </c>
    </row>
    <row r="61" spans="1:9" s="164" customFormat="1" ht="17.399999999999999">
      <c r="A61" s="162"/>
      <c r="B61" s="163"/>
      <c r="C61" s="164" t="str">
        <f t="shared" si="0"/>
        <v/>
      </c>
      <c r="D61" s="165"/>
      <c r="E61" s="166"/>
      <c r="F61" s="164" t="str">
        <f t="shared" si="1"/>
        <v/>
      </c>
      <c r="G61" s="165"/>
      <c r="H61" s="166"/>
      <c r="I61" s="164" t="str">
        <f t="shared" si="2"/>
        <v/>
      </c>
    </row>
    <row r="62" spans="1:9" s="164" customFormat="1" ht="17.399999999999999">
      <c r="A62" s="162"/>
      <c r="B62" s="163"/>
      <c r="C62" s="164" t="str">
        <f t="shared" si="0"/>
        <v/>
      </c>
      <c r="D62" s="165"/>
      <c r="E62" s="166"/>
      <c r="F62" s="164" t="str">
        <f t="shared" si="1"/>
        <v/>
      </c>
      <c r="G62" s="165"/>
      <c r="H62" s="166"/>
      <c r="I62" s="164" t="str">
        <f t="shared" si="2"/>
        <v/>
      </c>
    </row>
    <row r="63" spans="1:9" s="164" customFormat="1" ht="17.399999999999999">
      <c r="A63" s="162"/>
      <c r="B63" s="163"/>
      <c r="C63" s="164" t="str">
        <f t="shared" si="0"/>
        <v/>
      </c>
      <c r="D63" s="165"/>
      <c r="E63" s="166"/>
      <c r="F63" s="164" t="str">
        <f t="shared" si="1"/>
        <v/>
      </c>
      <c r="G63" s="165"/>
      <c r="H63" s="166"/>
      <c r="I63" s="164" t="str">
        <f t="shared" si="2"/>
        <v/>
      </c>
    </row>
    <row r="64" spans="1:9" s="164" customFormat="1" ht="17.399999999999999">
      <c r="A64" s="162"/>
      <c r="B64" s="163"/>
      <c r="C64" s="164" t="str">
        <f t="shared" si="0"/>
        <v/>
      </c>
      <c r="D64" s="165"/>
      <c r="E64" s="166"/>
      <c r="F64" s="164" t="str">
        <f t="shared" si="1"/>
        <v/>
      </c>
      <c r="G64" s="165"/>
      <c r="H64" s="166"/>
      <c r="I64" s="164" t="str">
        <f t="shared" si="2"/>
        <v/>
      </c>
    </row>
    <row r="65" spans="1:9" s="164" customFormat="1" ht="17.399999999999999">
      <c r="A65" s="162"/>
      <c r="B65" s="163"/>
      <c r="C65" s="164" t="str">
        <f t="shared" si="0"/>
        <v/>
      </c>
      <c r="D65" s="165"/>
      <c r="E65" s="166"/>
      <c r="F65" s="164" t="str">
        <f t="shared" si="1"/>
        <v/>
      </c>
      <c r="G65" s="165"/>
      <c r="H65" s="166"/>
      <c r="I65" s="164" t="str">
        <f t="shared" si="2"/>
        <v/>
      </c>
    </row>
    <row r="66" spans="1:9" s="164" customFormat="1" ht="17.399999999999999">
      <c r="A66" s="162"/>
      <c r="B66" s="163"/>
      <c r="C66" s="164" t="str">
        <f t="shared" si="0"/>
        <v/>
      </c>
      <c r="D66" s="165"/>
      <c r="E66" s="166"/>
      <c r="F66" s="164" t="str">
        <f t="shared" si="1"/>
        <v/>
      </c>
      <c r="G66" s="165"/>
      <c r="H66" s="166"/>
      <c r="I66" s="164" t="str">
        <f t="shared" si="2"/>
        <v/>
      </c>
    </row>
    <row r="67" spans="1:9" s="164" customFormat="1" ht="17.399999999999999">
      <c r="A67" s="162"/>
      <c r="B67" s="163"/>
      <c r="C67" s="164" t="str">
        <f t="shared" si="0"/>
        <v/>
      </c>
      <c r="D67" s="165"/>
      <c r="E67" s="166"/>
      <c r="F67" s="164" t="str">
        <f t="shared" si="1"/>
        <v/>
      </c>
      <c r="G67" s="165"/>
      <c r="H67" s="166"/>
      <c r="I67" s="164" t="str">
        <f t="shared" si="2"/>
        <v/>
      </c>
    </row>
    <row r="68" spans="1:9" s="164" customFormat="1" ht="17.399999999999999">
      <c r="A68" s="162"/>
      <c r="B68" s="163"/>
      <c r="C68" s="164" t="str">
        <f t="shared" si="0"/>
        <v/>
      </c>
      <c r="D68" s="165"/>
      <c r="E68" s="166"/>
      <c r="F68" s="164" t="str">
        <f t="shared" si="1"/>
        <v/>
      </c>
      <c r="G68" s="165"/>
      <c r="H68" s="166"/>
      <c r="I68" s="164" t="str">
        <f t="shared" si="2"/>
        <v/>
      </c>
    </row>
    <row r="69" spans="1:9" s="164" customFormat="1" ht="17.399999999999999">
      <c r="A69" s="162"/>
      <c r="B69" s="163"/>
      <c r="C69" s="164" t="str">
        <f t="shared" ref="C69:C132" si="3">IF(B69&gt;0,TEXT(B69,"(aaa)"),"")</f>
        <v/>
      </c>
      <c r="D69" s="165"/>
      <c r="E69" s="166"/>
      <c r="F69" s="164" t="str">
        <f t="shared" ref="F69:F132" si="4">IF(E69&gt;0,TEXT(E69,"(aaa)"),"")</f>
        <v/>
      </c>
      <c r="G69" s="165"/>
      <c r="H69" s="166"/>
      <c r="I69" s="164" t="str">
        <f t="shared" ref="I69:I132" si="5">IF(H69&gt;0,TEXT(H69,"(aaa)"),"")</f>
        <v/>
      </c>
    </row>
    <row r="70" spans="1:9" s="164" customFormat="1" ht="17.399999999999999">
      <c r="A70" s="162"/>
      <c r="B70" s="163"/>
      <c r="C70" s="164" t="str">
        <f t="shared" si="3"/>
        <v/>
      </c>
      <c r="D70" s="165"/>
      <c r="E70" s="166"/>
      <c r="F70" s="164" t="str">
        <f t="shared" si="4"/>
        <v/>
      </c>
      <c r="G70" s="165"/>
      <c r="H70" s="166"/>
      <c r="I70" s="164" t="str">
        <f t="shared" si="5"/>
        <v/>
      </c>
    </row>
    <row r="71" spans="1:9" s="164" customFormat="1" ht="17.399999999999999">
      <c r="A71" s="162"/>
      <c r="B71" s="163"/>
      <c r="C71" s="164" t="str">
        <f t="shared" si="3"/>
        <v/>
      </c>
      <c r="D71" s="165"/>
      <c r="E71" s="166"/>
      <c r="F71" s="164" t="str">
        <f t="shared" si="4"/>
        <v/>
      </c>
      <c r="G71" s="165"/>
      <c r="H71" s="166"/>
      <c r="I71" s="164" t="str">
        <f t="shared" si="5"/>
        <v/>
      </c>
    </row>
    <row r="72" spans="1:9" s="164" customFormat="1" ht="17.399999999999999">
      <c r="A72" s="162"/>
      <c r="B72" s="163"/>
      <c r="C72" s="164" t="str">
        <f t="shared" si="3"/>
        <v/>
      </c>
      <c r="D72" s="165"/>
      <c r="E72" s="166"/>
      <c r="F72" s="164" t="str">
        <f t="shared" si="4"/>
        <v/>
      </c>
      <c r="G72" s="165"/>
      <c r="H72" s="166"/>
      <c r="I72" s="164" t="str">
        <f t="shared" si="5"/>
        <v/>
      </c>
    </row>
    <row r="73" spans="1:9" s="164" customFormat="1" ht="17.399999999999999">
      <c r="A73" s="162"/>
      <c r="B73" s="163"/>
      <c r="C73" s="164" t="str">
        <f t="shared" si="3"/>
        <v/>
      </c>
      <c r="D73" s="165"/>
      <c r="E73" s="166"/>
      <c r="F73" s="164" t="str">
        <f t="shared" si="4"/>
        <v/>
      </c>
      <c r="G73" s="165"/>
      <c r="H73" s="166"/>
      <c r="I73" s="164" t="str">
        <f t="shared" si="5"/>
        <v/>
      </c>
    </row>
    <row r="74" spans="1:9" s="164" customFormat="1" ht="17.399999999999999">
      <c r="A74" s="162"/>
      <c r="B74" s="163"/>
      <c r="C74" s="164" t="str">
        <f t="shared" si="3"/>
        <v/>
      </c>
      <c r="D74" s="165"/>
      <c r="E74" s="166"/>
      <c r="F74" s="164" t="str">
        <f t="shared" si="4"/>
        <v/>
      </c>
      <c r="G74" s="165"/>
      <c r="H74" s="166"/>
      <c r="I74" s="164" t="str">
        <f t="shared" si="5"/>
        <v/>
      </c>
    </row>
    <row r="75" spans="1:9" s="164" customFormat="1" ht="17.399999999999999">
      <c r="A75" s="162"/>
      <c r="B75" s="163"/>
      <c r="C75" s="164" t="str">
        <f t="shared" si="3"/>
        <v/>
      </c>
      <c r="D75" s="165"/>
      <c r="E75" s="166"/>
      <c r="F75" s="164" t="str">
        <f t="shared" si="4"/>
        <v/>
      </c>
      <c r="G75" s="165"/>
      <c r="H75" s="166"/>
      <c r="I75" s="164" t="str">
        <f t="shared" si="5"/>
        <v/>
      </c>
    </row>
    <row r="76" spans="1:9" s="164" customFormat="1" ht="17.399999999999999">
      <c r="A76" s="162"/>
      <c r="B76" s="163"/>
      <c r="C76" s="164" t="str">
        <f t="shared" si="3"/>
        <v/>
      </c>
      <c r="D76" s="165"/>
      <c r="E76" s="166"/>
      <c r="F76" s="164" t="str">
        <f t="shared" si="4"/>
        <v/>
      </c>
      <c r="G76" s="165"/>
      <c r="H76" s="166"/>
      <c r="I76" s="164" t="str">
        <f t="shared" si="5"/>
        <v/>
      </c>
    </row>
    <row r="77" spans="1:9" s="164" customFormat="1" ht="17.399999999999999">
      <c r="A77" s="162"/>
      <c r="B77" s="163"/>
      <c r="C77" s="164" t="str">
        <f t="shared" si="3"/>
        <v/>
      </c>
      <c r="D77" s="165"/>
      <c r="E77" s="166"/>
      <c r="F77" s="164" t="str">
        <f t="shared" si="4"/>
        <v/>
      </c>
      <c r="G77" s="165"/>
      <c r="H77" s="166"/>
      <c r="I77" s="164" t="str">
        <f t="shared" si="5"/>
        <v/>
      </c>
    </row>
    <row r="78" spans="1:9" s="164" customFormat="1" ht="17.399999999999999">
      <c r="A78" s="162"/>
      <c r="B78" s="163"/>
      <c r="C78" s="164" t="str">
        <f t="shared" si="3"/>
        <v/>
      </c>
      <c r="D78" s="165"/>
      <c r="E78" s="166"/>
      <c r="F78" s="164" t="str">
        <f t="shared" si="4"/>
        <v/>
      </c>
      <c r="G78" s="165"/>
      <c r="H78" s="166"/>
      <c r="I78" s="164" t="str">
        <f t="shared" si="5"/>
        <v/>
      </c>
    </row>
    <row r="79" spans="1:9" s="164" customFormat="1" ht="17.399999999999999">
      <c r="A79" s="162"/>
      <c r="B79" s="163"/>
      <c r="C79" s="164" t="str">
        <f t="shared" si="3"/>
        <v/>
      </c>
      <c r="D79" s="165"/>
      <c r="E79" s="166"/>
      <c r="F79" s="164" t="str">
        <f t="shared" si="4"/>
        <v/>
      </c>
      <c r="G79" s="165"/>
      <c r="H79" s="166"/>
      <c r="I79" s="164" t="str">
        <f t="shared" si="5"/>
        <v/>
      </c>
    </row>
    <row r="80" spans="1:9" s="164" customFormat="1" ht="17.399999999999999">
      <c r="A80" s="162"/>
      <c r="B80" s="163"/>
      <c r="C80" s="164" t="str">
        <f t="shared" si="3"/>
        <v/>
      </c>
      <c r="D80" s="165"/>
      <c r="E80" s="166"/>
      <c r="F80" s="164" t="str">
        <f t="shared" si="4"/>
        <v/>
      </c>
      <c r="G80" s="165"/>
      <c r="H80" s="166"/>
      <c r="I80" s="164" t="str">
        <f t="shared" si="5"/>
        <v/>
      </c>
    </row>
    <row r="81" spans="1:9" s="164" customFormat="1" ht="17.399999999999999">
      <c r="A81" s="162"/>
      <c r="B81" s="163"/>
      <c r="C81" s="164" t="str">
        <f t="shared" si="3"/>
        <v/>
      </c>
      <c r="D81" s="165"/>
      <c r="E81" s="166"/>
      <c r="F81" s="164" t="str">
        <f t="shared" si="4"/>
        <v/>
      </c>
      <c r="G81" s="165"/>
      <c r="H81" s="166"/>
      <c r="I81" s="164" t="str">
        <f t="shared" si="5"/>
        <v/>
      </c>
    </row>
    <row r="82" spans="1:9" s="164" customFormat="1" ht="17.399999999999999">
      <c r="A82" s="162"/>
      <c r="B82" s="163"/>
      <c r="C82" s="164" t="str">
        <f t="shared" si="3"/>
        <v/>
      </c>
      <c r="D82" s="165"/>
      <c r="E82" s="166"/>
      <c r="F82" s="164" t="str">
        <f t="shared" si="4"/>
        <v/>
      </c>
      <c r="G82" s="165"/>
      <c r="H82" s="166"/>
      <c r="I82" s="164" t="str">
        <f t="shared" si="5"/>
        <v/>
      </c>
    </row>
    <row r="83" spans="1:9" s="164" customFormat="1" ht="17.399999999999999">
      <c r="A83" s="162"/>
      <c r="B83" s="163"/>
      <c r="C83" s="164" t="str">
        <f t="shared" si="3"/>
        <v/>
      </c>
      <c r="D83" s="165"/>
      <c r="E83" s="166"/>
      <c r="F83" s="164" t="str">
        <f t="shared" si="4"/>
        <v/>
      </c>
      <c r="G83" s="165"/>
      <c r="H83" s="166"/>
      <c r="I83" s="164" t="str">
        <f t="shared" si="5"/>
        <v/>
      </c>
    </row>
    <row r="84" spans="1:9" s="164" customFormat="1" ht="17.399999999999999">
      <c r="A84" s="162"/>
      <c r="B84" s="163"/>
      <c r="C84" s="164" t="str">
        <f t="shared" si="3"/>
        <v/>
      </c>
      <c r="D84" s="165"/>
      <c r="E84" s="166"/>
      <c r="F84" s="164" t="str">
        <f t="shared" si="4"/>
        <v/>
      </c>
      <c r="G84" s="165"/>
      <c r="H84" s="166"/>
      <c r="I84" s="164" t="str">
        <f t="shared" si="5"/>
        <v/>
      </c>
    </row>
    <row r="85" spans="1:9" s="164" customFormat="1" ht="17.399999999999999">
      <c r="A85" s="162"/>
      <c r="B85" s="163"/>
      <c r="C85" s="164" t="str">
        <f t="shared" si="3"/>
        <v/>
      </c>
      <c r="D85" s="165"/>
      <c r="E85" s="166"/>
      <c r="F85" s="164" t="str">
        <f t="shared" si="4"/>
        <v/>
      </c>
      <c r="G85" s="165"/>
      <c r="H85" s="166"/>
      <c r="I85" s="164" t="str">
        <f t="shared" si="5"/>
        <v/>
      </c>
    </row>
    <row r="86" spans="1:9" s="164" customFormat="1" ht="17.399999999999999">
      <c r="A86" s="162"/>
      <c r="B86" s="163"/>
      <c r="C86" s="164" t="str">
        <f t="shared" si="3"/>
        <v/>
      </c>
      <c r="D86" s="165"/>
      <c r="E86" s="166"/>
      <c r="F86" s="164" t="str">
        <f t="shared" si="4"/>
        <v/>
      </c>
      <c r="G86" s="165"/>
      <c r="H86" s="166"/>
      <c r="I86" s="164" t="str">
        <f t="shared" si="5"/>
        <v/>
      </c>
    </row>
    <row r="87" spans="1:9" s="164" customFormat="1" ht="17.399999999999999">
      <c r="A87" s="162"/>
      <c r="B87" s="163"/>
      <c r="C87" s="164" t="str">
        <f t="shared" si="3"/>
        <v/>
      </c>
      <c r="D87" s="165"/>
      <c r="E87" s="166"/>
      <c r="F87" s="164" t="str">
        <f t="shared" si="4"/>
        <v/>
      </c>
      <c r="G87" s="165"/>
      <c r="H87" s="166"/>
      <c r="I87" s="164" t="str">
        <f t="shared" si="5"/>
        <v/>
      </c>
    </row>
    <row r="88" spans="1:9" s="164" customFormat="1" ht="17.399999999999999">
      <c r="A88" s="162"/>
      <c r="B88" s="163"/>
      <c r="C88" s="164" t="str">
        <f t="shared" si="3"/>
        <v/>
      </c>
      <c r="D88" s="165"/>
      <c r="E88" s="166"/>
      <c r="F88" s="164" t="str">
        <f t="shared" si="4"/>
        <v/>
      </c>
      <c r="G88" s="165"/>
      <c r="H88" s="166"/>
      <c r="I88" s="164" t="str">
        <f t="shared" si="5"/>
        <v/>
      </c>
    </row>
    <row r="89" spans="1:9" s="164" customFormat="1" ht="17.399999999999999">
      <c r="A89" s="162"/>
      <c r="B89" s="163"/>
      <c r="C89" s="164" t="str">
        <f t="shared" si="3"/>
        <v/>
      </c>
      <c r="D89" s="165"/>
      <c r="E89" s="166"/>
      <c r="F89" s="164" t="str">
        <f t="shared" si="4"/>
        <v/>
      </c>
      <c r="G89" s="165"/>
      <c r="H89" s="166"/>
      <c r="I89" s="164" t="str">
        <f t="shared" si="5"/>
        <v/>
      </c>
    </row>
    <row r="90" spans="1:9" s="164" customFormat="1" ht="17.399999999999999">
      <c r="A90" s="162"/>
      <c r="B90" s="163"/>
      <c r="C90" s="164" t="str">
        <f t="shared" si="3"/>
        <v/>
      </c>
      <c r="D90" s="165"/>
      <c r="E90" s="166"/>
      <c r="F90" s="164" t="str">
        <f t="shared" si="4"/>
        <v/>
      </c>
      <c r="G90" s="165"/>
      <c r="H90" s="166"/>
      <c r="I90" s="164" t="str">
        <f t="shared" si="5"/>
        <v/>
      </c>
    </row>
    <row r="91" spans="1:9" s="164" customFormat="1" ht="17.399999999999999">
      <c r="A91" s="162"/>
      <c r="B91" s="163"/>
      <c r="C91" s="164" t="str">
        <f t="shared" si="3"/>
        <v/>
      </c>
      <c r="D91" s="165"/>
      <c r="E91" s="166"/>
      <c r="F91" s="164" t="str">
        <f t="shared" si="4"/>
        <v/>
      </c>
      <c r="G91" s="165"/>
      <c r="H91" s="166"/>
      <c r="I91" s="164" t="str">
        <f t="shared" si="5"/>
        <v/>
      </c>
    </row>
    <row r="92" spans="1:9" s="164" customFormat="1" ht="17.399999999999999">
      <c r="A92" s="162"/>
      <c r="B92" s="163"/>
      <c r="C92" s="164" t="str">
        <f t="shared" si="3"/>
        <v/>
      </c>
      <c r="D92" s="165"/>
      <c r="E92" s="166"/>
      <c r="F92" s="164" t="str">
        <f t="shared" si="4"/>
        <v/>
      </c>
      <c r="G92" s="165"/>
      <c r="H92" s="166"/>
      <c r="I92" s="164" t="str">
        <f t="shared" si="5"/>
        <v/>
      </c>
    </row>
    <row r="93" spans="1:9" s="164" customFormat="1" ht="17.399999999999999">
      <c r="A93" s="162"/>
      <c r="B93" s="163"/>
      <c r="C93" s="164" t="str">
        <f t="shared" si="3"/>
        <v/>
      </c>
      <c r="D93" s="165"/>
      <c r="E93" s="166"/>
      <c r="F93" s="164" t="str">
        <f t="shared" si="4"/>
        <v/>
      </c>
      <c r="G93" s="165"/>
      <c r="H93" s="166"/>
      <c r="I93" s="164" t="str">
        <f t="shared" si="5"/>
        <v/>
      </c>
    </row>
    <row r="94" spans="1:9" s="164" customFormat="1" ht="17.399999999999999">
      <c r="A94" s="162"/>
      <c r="B94" s="163"/>
      <c r="C94" s="164" t="str">
        <f t="shared" si="3"/>
        <v/>
      </c>
      <c r="D94" s="165"/>
      <c r="E94" s="166"/>
      <c r="F94" s="164" t="str">
        <f t="shared" si="4"/>
        <v/>
      </c>
      <c r="G94" s="165"/>
      <c r="H94" s="166"/>
      <c r="I94" s="164" t="str">
        <f t="shared" si="5"/>
        <v/>
      </c>
    </row>
    <row r="95" spans="1:9" s="164" customFormat="1" ht="17.399999999999999">
      <c r="A95" s="162"/>
      <c r="B95" s="163"/>
      <c r="C95" s="164" t="str">
        <f t="shared" si="3"/>
        <v/>
      </c>
      <c r="D95" s="165"/>
      <c r="E95" s="166"/>
      <c r="F95" s="164" t="str">
        <f t="shared" si="4"/>
        <v/>
      </c>
      <c r="G95" s="165"/>
      <c r="H95" s="166"/>
      <c r="I95" s="164" t="str">
        <f t="shared" si="5"/>
        <v/>
      </c>
    </row>
    <row r="96" spans="1:9" s="164" customFormat="1" ht="17.399999999999999">
      <c r="A96" s="162"/>
      <c r="B96" s="163"/>
      <c r="C96" s="164" t="str">
        <f t="shared" si="3"/>
        <v/>
      </c>
      <c r="D96" s="165"/>
      <c r="E96" s="166"/>
      <c r="F96" s="164" t="str">
        <f t="shared" si="4"/>
        <v/>
      </c>
      <c r="G96" s="165"/>
      <c r="H96" s="166"/>
      <c r="I96" s="164" t="str">
        <f t="shared" si="5"/>
        <v/>
      </c>
    </row>
    <row r="97" spans="1:9" s="164" customFormat="1" ht="17.399999999999999">
      <c r="A97" s="162"/>
      <c r="B97" s="163"/>
      <c r="C97" s="164" t="str">
        <f t="shared" si="3"/>
        <v/>
      </c>
      <c r="D97" s="165"/>
      <c r="E97" s="166"/>
      <c r="F97" s="164" t="str">
        <f t="shared" si="4"/>
        <v/>
      </c>
      <c r="G97" s="165"/>
      <c r="H97" s="166"/>
      <c r="I97" s="164" t="str">
        <f t="shared" si="5"/>
        <v/>
      </c>
    </row>
    <row r="98" spans="1:9" s="164" customFormat="1" ht="17.399999999999999">
      <c r="A98" s="162"/>
      <c r="B98" s="163"/>
      <c r="C98" s="164" t="str">
        <f t="shared" si="3"/>
        <v/>
      </c>
      <c r="D98" s="165"/>
      <c r="E98" s="166"/>
      <c r="F98" s="164" t="str">
        <f t="shared" si="4"/>
        <v/>
      </c>
      <c r="G98" s="165"/>
      <c r="H98" s="166"/>
      <c r="I98" s="164" t="str">
        <f t="shared" si="5"/>
        <v/>
      </c>
    </row>
    <row r="99" spans="1:9" s="164" customFormat="1" ht="17.399999999999999">
      <c r="A99" s="162"/>
      <c r="B99" s="163"/>
      <c r="C99" s="164" t="str">
        <f t="shared" si="3"/>
        <v/>
      </c>
      <c r="D99" s="165"/>
      <c r="E99" s="166"/>
      <c r="F99" s="164" t="str">
        <f t="shared" si="4"/>
        <v/>
      </c>
      <c r="G99" s="165"/>
      <c r="H99" s="166"/>
      <c r="I99" s="164" t="str">
        <f t="shared" si="5"/>
        <v/>
      </c>
    </row>
    <row r="100" spans="1:9" s="164" customFormat="1" ht="17.399999999999999">
      <c r="A100" s="162"/>
      <c r="B100" s="163"/>
      <c r="C100" s="164" t="str">
        <f t="shared" si="3"/>
        <v/>
      </c>
      <c r="D100" s="165"/>
      <c r="E100" s="166"/>
      <c r="F100" s="164" t="str">
        <f t="shared" si="4"/>
        <v/>
      </c>
      <c r="G100" s="165"/>
      <c r="H100" s="166"/>
      <c r="I100" s="164" t="str">
        <f t="shared" si="5"/>
        <v/>
      </c>
    </row>
    <row r="101" spans="1:9" s="164" customFormat="1" ht="17.399999999999999">
      <c r="A101" s="162"/>
      <c r="B101" s="163"/>
      <c r="C101" s="164" t="str">
        <f t="shared" si="3"/>
        <v/>
      </c>
      <c r="D101" s="165"/>
      <c r="E101" s="166"/>
      <c r="F101" s="164" t="str">
        <f t="shared" si="4"/>
        <v/>
      </c>
      <c r="G101" s="165"/>
      <c r="H101" s="166"/>
      <c r="I101" s="164" t="str">
        <f t="shared" si="5"/>
        <v/>
      </c>
    </row>
    <row r="102" spans="1:9" s="164" customFormat="1" ht="17.399999999999999">
      <c r="A102" s="162"/>
      <c r="B102" s="163"/>
      <c r="C102" s="164" t="str">
        <f t="shared" si="3"/>
        <v/>
      </c>
      <c r="D102" s="165"/>
      <c r="E102" s="166"/>
      <c r="F102" s="164" t="str">
        <f t="shared" si="4"/>
        <v/>
      </c>
      <c r="G102" s="165"/>
      <c r="H102" s="166"/>
      <c r="I102" s="164" t="str">
        <f t="shared" si="5"/>
        <v/>
      </c>
    </row>
    <row r="103" spans="1:9" s="164" customFormat="1" ht="17.399999999999999">
      <c r="A103" s="162"/>
      <c r="B103" s="163"/>
      <c r="C103" s="164" t="str">
        <f t="shared" si="3"/>
        <v/>
      </c>
      <c r="D103" s="165"/>
      <c r="E103" s="166"/>
      <c r="F103" s="164" t="str">
        <f t="shared" si="4"/>
        <v/>
      </c>
      <c r="G103" s="165"/>
      <c r="H103" s="166"/>
      <c r="I103" s="164" t="str">
        <f t="shared" si="5"/>
        <v/>
      </c>
    </row>
    <row r="104" spans="1:9" s="164" customFormat="1" ht="17.399999999999999">
      <c r="A104" s="162"/>
      <c r="B104" s="163"/>
      <c r="C104" s="164" t="str">
        <f t="shared" si="3"/>
        <v/>
      </c>
      <c r="D104" s="165"/>
      <c r="E104" s="166"/>
      <c r="F104" s="164" t="str">
        <f t="shared" si="4"/>
        <v/>
      </c>
      <c r="G104" s="165"/>
      <c r="H104" s="166"/>
      <c r="I104" s="164" t="str">
        <f t="shared" si="5"/>
        <v/>
      </c>
    </row>
    <row r="105" spans="1:9" s="164" customFormat="1" ht="17.399999999999999">
      <c r="A105" s="162"/>
      <c r="B105" s="163"/>
      <c r="C105" s="164" t="str">
        <f t="shared" si="3"/>
        <v/>
      </c>
      <c r="D105" s="165"/>
      <c r="E105" s="166"/>
      <c r="F105" s="164" t="str">
        <f t="shared" si="4"/>
        <v/>
      </c>
      <c r="G105" s="165"/>
      <c r="H105" s="166"/>
      <c r="I105" s="164" t="str">
        <f t="shared" si="5"/>
        <v/>
      </c>
    </row>
    <row r="106" spans="1:9" s="164" customFormat="1" ht="17.399999999999999">
      <c r="A106" s="162"/>
      <c r="B106" s="163"/>
      <c r="C106" s="164" t="str">
        <f t="shared" si="3"/>
        <v/>
      </c>
      <c r="D106" s="165"/>
      <c r="E106" s="166"/>
      <c r="F106" s="164" t="str">
        <f t="shared" si="4"/>
        <v/>
      </c>
      <c r="G106" s="165"/>
      <c r="H106" s="166"/>
      <c r="I106" s="164" t="str">
        <f t="shared" si="5"/>
        <v/>
      </c>
    </row>
    <row r="107" spans="1:9" s="164" customFormat="1" ht="17.399999999999999">
      <c r="A107" s="162"/>
      <c r="B107" s="163"/>
      <c r="C107" s="164" t="str">
        <f t="shared" si="3"/>
        <v/>
      </c>
      <c r="D107" s="165"/>
      <c r="E107" s="166"/>
      <c r="F107" s="164" t="str">
        <f t="shared" si="4"/>
        <v/>
      </c>
      <c r="G107" s="165"/>
      <c r="H107" s="166"/>
      <c r="I107" s="164" t="str">
        <f t="shared" si="5"/>
        <v/>
      </c>
    </row>
    <row r="108" spans="1:9" s="164" customFormat="1" ht="17.399999999999999">
      <c r="A108" s="162"/>
      <c r="B108" s="163"/>
      <c r="C108" s="164" t="str">
        <f t="shared" si="3"/>
        <v/>
      </c>
      <c r="D108" s="165"/>
      <c r="E108" s="166"/>
      <c r="F108" s="164" t="str">
        <f t="shared" si="4"/>
        <v/>
      </c>
      <c r="G108" s="165"/>
      <c r="H108" s="166"/>
      <c r="I108" s="164" t="str">
        <f t="shared" si="5"/>
        <v/>
      </c>
    </row>
    <row r="109" spans="1:9" s="164" customFormat="1" ht="17.399999999999999">
      <c r="A109" s="162"/>
      <c r="B109" s="163"/>
      <c r="C109" s="164" t="str">
        <f t="shared" si="3"/>
        <v/>
      </c>
      <c r="D109" s="165"/>
      <c r="E109" s="166"/>
      <c r="F109" s="164" t="str">
        <f t="shared" si="4"/>
        <v/>
      </c>
      <c r="G109" s="165"/>
      <c r="H109" s="166"/>
      <c r="I109" s="164" t="str">
        <f t="shared" si="5"/>
        <v/>
      </c>
    </row>
    <row r="110" spans="1:9" s="164" customFormat="1" ht="17.399999999999999">
      <c r="A110" s="162"/>
      <c r="B110" s="163"/>
      <c r="C110" s="164" t="str">
        <f t="shared" si="3"/>
        <v/>
      </c>
      <c r="D110" s="165"/>
      <c r="E110" s="166"/>
      <c r="F110" s="164" t="str">
        <f t="shared" si="4"/>
        <v/>
      </c>
      <c r="G110" s="165"/>
      <c r="H110" s="166"/>
      <c r="I110" s="164" t="str">
        <f t="shared" si="5"/>
        <v/>
      </c>
    </row>
    <row r="111" spans="1:9" s="164" customFormat="1" ht="17.399999999999999">
      <c r="A111" s="162"/>
      <c r="B111" s="163"/>
      <c r="C111" s="164" t="str">
        <f t="shared" si="3"/>
        <v/>
      </c>
      <c r="D111" s="165"/>
      <c r="E111" s="166"/>
      <c r="F111" s="164" t="str">
        <f t="shared" si="4"/>
        <v/>
      </c>
      <c r="G111" s="165"/>
      <c r="H111" s="166"/>
      <c r="I111" s="164" t="str">
        <f t="shared" si="5"/>
        <v/>
      </c>
    </row>
    <row r="112" spans="1:9" s="164" customFormat="1" ht="17.399999999999999">
      <c r="A112" s="162"/>
      <c r="B112" s="163"/>
      <c r="C112" s="164" t="str">
        <f t="shared" si="3"/>
        <v/>
      </c>
      <c r="D112" s="165"/>
      <c r="E112" s="166"/>
      <c r="F112" s="164" t="str">
        <f t="shared" si="4"/>
        <v/>
      </c>
      <c r="G112" s="165"/>
      <c r="H112" s="166"/>
      <c r="I112" s="164" t="str">
        <f t="shared" si="5"/>
        <v/>
      </c>
    </row>
    <row r="113" spans="1:9" s="164" customFormat="1" ht="17.399999999999999">
      <c r="A113" s="162"/>
      <c r="B113" s="163"/>
      <c r="C113" s="164" t="str">
        <f t="shared" si="3"/>
        <v/>
      </c>
      <c r="D113" s="165"/>
      <c r="E113" s="166"/>
      <c r="F113" s="164" t="str">
        <f t="shared" si="4"/>
        <v/>
      </c>
      <c r="G113" s="165"/>
      <c r="H113" s="166"/>
      <c r="I113" s="164" t="str">
        <f t="shared" si="5"/>
        <v/>
      </c>
    </row>
    <row r="114" spans="1:9" s="164" customFormat="1" ht="17.399999999999999">
      <c r="A114" s="162"/>
      <c r="B114" s="163"/>
      <c r="C114" s="164" t="str">
        <f t="shared" si="3"/>
        <v/>
      </c>
      <c r="D114" s="165"/>
      <c r="E114" s="166"/>
      <c r="F114" s="164" t="str">
        <f t="shared" si="4"/>
        <v/>
      </c>
      <c r="G114" s="165"/>
      <c r="H114" s="166"/>
      <c r="I114" s="164" t="str">
        <f t="shared" si="5"/>
        <v/>
      </c>
    </row>
    <row r="115" spans="1:9" s="164" customFormat="1" ht="17.399999999999999">
      <c r="A115" s="162"/>
      <c r="B115" s="163"/>
      <c r="C115" s="164" t="str">
        <f t="shared" si="3"/>
        <v/>
      </c>
      <c r="D115" s="165"/>
      <c r="E115" s="166"/>
      <c r="F115" s="164" t="str">
        <f t="shared" si="4"/>
        <v/>
      </c>
      <c r="G115" s="165"/>
      <c r="H115" s="166"/>
      <c r="I115" s="164" t="str">
        <f t="shared" si="5"/>
        <v/>
      </c>
    </row>
    <row r="116" spans="1:9" s="164" customFormat="1" ht="17.399999999999999">
      <c r="A116" s="162"/>
      <c r="B116" s="163"/>
      <c r="C116" s="164" t="str">
        <f t="shared" si="3"/>
        <v/>
      </c>
      <c r="D116" s="165"/>
      <c r="E116" s="166"/>
      <c r="F116" s="164" t="str">
        <f t="shared" si="4"/>
        <v/>
      </c>
      <c r="G116" s="165"/>
      <c r="H116" s="166"/>
      <c r="I116" s="164" t="str">
        <f t="shared" si="5"/>
        <v/>
      </c>
    </row>
    <row r="117" spans="1:9" s="164" customFormat="1" ht="17.399999999999999">
      <c r="A117" s="162"/>
      <c r="B117" s="163"/>
      <c r="C117" s="164" t="str">
        <f t="shared" si="3"/>
        <v/>
      </c>
      <c r="D117" s="165"/>
      <c r="E117" s="166"/>
      <c r="F117" s="164" t="str">
        <f t="shared" si="4"/>
        <v/>
      </c>
      <c r="G117" s="165"/>
      <c r="H117" s="166"/>
      <c r="I117" s="164" t="str">
        <f t="shared" si="5"/>
        <v/>
      </c>
    </row>
    <row r="118" spans="1:9" s="164" customFormat="1" ht="17.399999999999999">
      <c r="A118" s="162"/>
      <c r="B118" s="163"/>
      <c r="C118" s="164" t="str">
        <f t="shared" si="3"/>
        <v/>
      </c>
      <c r="D118" s="165"/>
      <c r="E118" s="166"/>
      <c r="F118" s="164" t="str">
        <f t="shared" si="4"/>
        <v/>
      </c>
      <c r="G118" s="165"/>
      <c r="H118" s="166"/>
      <c r="I118" s="164" t="str">
        <f t="shared" si="5"/>
        <v/>
      </c>
    </row>
    <row r="119" spans="1:9" s="164" customFormat="1" ht="17.399999999999999">
      <c r="A119" s="162"/>
      <c r="B119" s="163"/>
      <c r="C119" s="164" t="str">
        <f t="shared" si="3"/>
        <v/>
      </c>
      <c r="D119" s="165"/>
      <c r="E119" s="166"/>
      <c r="F119" s="164" t="str">
        <f t="shared" si="4"/>
        <v/>
      </c>
      <c r="G119" s="165"/>
      <c r="H119" s="166"/>
      <c r="I119" s="164" t="str">
        <f t="shared" si="5"/>
        <v/>
      </c>
    </row>
    <row r="120" spans="1:9" s="164" customFormat="1" ht="17.399999999999999">
      <c r="A120" s="162"/>
      <c r="B120" s="163"/>
      <c r="C120" s="164" t="str">
        <f t="shared" si="3"/>
        <v/>
      </c>
      <c r="D120" s="165"/>
      <c r="E120" s="166"/>
      <c r="F120" s="164" t="str">
        <f t="shared" si="4"/>
        <v/>
      </c>
      <c r="G120" s="165"/>
      <c r="H120" s="166"/>
      <c r="I120" s="164" t="str">
        <f t="shared" si="5"/>
        <v/>
      </c>
    </row>
    <row r="121" spans="1:9" s="164" customFormat="1" ht="17.399999999999999">
      <c r="A121" s="162"/>
      <c r="B121" s="163"/>
      <c r="C121" s="164" t="str">
        <f t="shared" si="3"/>
        <v/>
      </c>
      <c r="D121" s="165"/>
      <c r="E121" s="166"/>
      <c r="F121" s="164" t="str">
        <f t="shared" si="4"/>
        <v/>
      </c>
      <c r="G121" s="165"/>
      <c r="H121" s="166"/>
      <c r="I121" s="164" t="str">
        <f t="shared" si="5"/>
        <v/>
      </c>
    </row>
    <row r="122" spans="1:9" s="164" customFormat="1" ht="17.399999999999999">
      <c r="A122" s="162"/>
      <c r="B122" s="163"/>
      <c r="C122" s="164" t="str">
        <f t="shared" si="3"/>
        <v/>
      </c>
      <c r="D122" s="165"/>
      <c r="E122" s="166"/>
      <c r="F122" s="164" t="str">
        <f t="shared" si="4"/>
        <v/>
      </c>
      <c r="G122" s="165"/>
      <c r="H122" s="166"/>
      <c r="I122" s="164" t="str">
        <f t="shared" si="5"/>
        <v/>
      </c>
    </row>
    <row r="123" spans="1:9" s="164" customFormat="1" ht="17.399999999999999">
      <c r="A123" s="162"/>
      <c r="B123" s="168"/>
      <c r="C123" s="164" t="str">
        <f t="shared" si="3"/>
        <v/>
      </c>
      <c r="D123" s="165"/>
      <c r="E123" s="166"/>
      <c r="F123" s="164" t="str">
        <f t="shared" si="4"/>
        <v/>
      </c>
      <c r="G123" s="165"/>
      <c r="H123" s="166"/>
      <c r="I123" s="164" t="str">
        <f t="shared" si="5"/>
        <v/>
      </c>
    </row>
    <row r="124" spans="1:9" s="164" customFormat="1" ht="17.399999999999999">
      <c r="A124" s="162"/>
      <c r="B124" s="163"/>
      <c r="C124" s="164" t="str">
        <f t="shared" si="3"/>
        <v/>
      </c>
      <c r="D124" s="165"/>
      <c r="E124" s="166"/>
      <c r="F124" s="164" t="str">
        <f t="shared" si="4"/>
        <v/>
      </c>
      <c r="G124" s="165"/>
      <c r="H124" s="166"/>
      <c r="I124" s="164" t="str">
        <f t="shared" si="5"/>
        <v/>
      </c>
    </row>
    <row r="125" spans="1:9" s="164" customFormat="1" ht="17.399999999999999">
      <c r="A125" s="162"/>
      <c r="B125" s="163"/>
      <c r="C125" s="164" t="str">
        <f t="shared" si="3"/>
        <v/>
      </c>
      <c r="D125" s="165"/>
      <c r="E125" s="166"/>
      <c r="F125" s="164" t="str">
        <f t="shared" si="4"/>
        <v/>
      </c>
      <c r="G125" s="165"/>
      <c r="H125" s="166"/>
      <c r="I125" s="164" t="str">
        <f t="shared" si="5"/>
        <v/>
      </c>
    </row>
    <row r="126" spans="1:9" s="164" customFormat="1" ht="17.399999999999999">
      <c r="A126" s="162"/>
      <c r="B126" s="163"/>
      <c r="C126" s="164" t="str">
        <f t="shared" si="3"/>
        <v/>
      </c>
      <c r="D126" s="165"/>
      <c r="E126" s="166"/>
      <c r="F126" s="164" t="str">
        <f t="shared" si="4"/>
        <v/>
      </c>
      <c r="G126" s="165"/>
      <c r="H126" s="166"/>
      <c r="I126" s="164" t="str">
        <f t="shared" si="5"/>
        <v/>
      </c>
    </row>
    <row r="127" spans="1:9" s="164" customFormat="1" ht="17.399999999999999">
      <c r="A127" s="162"/>
      <c r="B127" s="163"/>
      <c r="C127" s="164" t="str">
        <f t="shared" si="3"/>
        <v/>
      </c>
      <c r="D127" s="165"/>
      <c r="E127" s="166"/>
      <c r="F127" s="164" t="str">
        <f t="shared" si="4"/>
        <v/>
      </c>
      <c r="G127" s="165"/>
      <c r="H127" s="166"/>
      <c r="I127" s="164" t="str">
        <f t="shared" si="5"/>
        <v/>
      </c>
    </row>
    <row r="128" spans="1:9" s="164" customFormat="1" ht="17.399999999999999">
      <c r="A128" s="162"/>
      <c r="B128" s="163"/>
      <c r="C128" s="164" t="str">
        <f t="shared" si="3"/>
        <v/>
      </c>
      <c r="D128" s="165"/>
      <c r="E128" s="166"/>
      <c r="F128" s="164" t="str">
        <f t="shared" si="4"/>
        <v/>
      </c>
      <c r="G128" s="165"/>
      <c r="H128" s="166"/>
      <c r="I128" s="164" t="str">
        <f t="shared" si="5"/>
        <v/>
      </c>
    </row>
    <row r="129" spans="1:9" s="164" customFormat="1" ht="17.399999999999999">
      <c r="A129" s="162"/>
      <c r="B129" s="163"/>
      <c r="C129" s="164" t="str">
        <f t="shared" si="3"/>
        <v/>
      </c>
      <c r="D129" s="165"/>
      <c r="E129" s="166"/>
      <c r="F129" s="164" t="str">
        <f t="shared" si="4"/>
        <v/>
      </c>
      <c r="G129" s="165"/>
      <c r="H129" s="166"/>
      <c r="I129" s="164" t="str">
        <f t="shared" si="5"/>
        <v/>
      </c>
    </row>
    <row r="130" spans="1:9" s="164" customFormat="1" ht="17.399999999999999">
      <c r="A130" s="162"/>
      <c r="B130" s="163"/>
      <c r="C130" s="164" t="str">
        <f t="shared" si="3"/>
        <v/>
      </c>
      <c r="D130" s="165"/>
      <c r="E130" s="166"/>
      <c r="F130" s="164" t="str">
        <f t="shared" si="4"/>
        <v/>
      </c>
      <c r="G130" s="165"/>
      <c r="H130" s="166"/>
      <c r="I130" s="164" t="str">
        <f t="shared" si="5"/>
        <v/>
      </c>
    </row>
    <row r="131" spans="1:9" s="164" customFormat="1" ht="17.399999999999999">
      <c r="A131" s="162"/>
      <c r="B131" s="163"/>
      <c r="C131" s="164" t="str">
        <f t="shared" si="3"/>
        <v/>
      </c>
      <c r="D131" s="165"/>
      <c r="E131" s="166"/>
      <c r="F131" s="164" t="str">
        <f t="shared" si="4"/>
        <v/>
      </c>
      <c r="G131" s="165"/>
      <c r="H131" s="166"/>
      <c r="I131" s="164" t="str">
        <f t="shared" si="5"/>
        <v/>
      </c>
    </row>
    <row r="132" spans="1:9" s="164" customFormat="1" ht="17.399999999999999">
      <c r="A132" s="162"/>
      <c r="B132" s="163"/>
      <c r="C132" s="164" t="str">
        <f t="shared" si="3"/>
        <v/>
      </c>
      <c r="D132" s="165"/>
      <c r="E132" s="166"/>
      <c r="F132" s="164" t="str">
        <f t="shared" si="4"/>
        <v/>
      </c>
      <c r="G132" s="165"/>
      <c r="H132" s="166"/>
      <c r="I132" s="164" t="str">
        <f t="shared" si="5"/>
        <v/>
      </c>
    </row>
    <row r="133" spans="1:9" s="164" customFormat="1" ht="17.399999999999999">
      <c r="A133" s="162"/>
      <c r="B133" s="163"/>
      <c r="C133" s="164" t="str">
        <f t="shared" ref="C133:C196" si="6">IF(B133&gt;0,TEXT(B133,"(aaa)"),"")</f>
        <v/>
      </c>
      <c r="D133" s="165"/>
      <c r="E133" s="166"/>
      <c r="F133" s="164" t="str">
        <f t="shared" ref="F133:F196" si="7">IF(E133&gt;0,TEXT(E133,"(aaa)"),"")</f>
        <v/>
      </c>
      <c r="G133" s="165"/>
      <c r="H133" s="166"/>
      <c r="I133" s="164" t="str">
        <f t="shared" ref="I133:I196" si="8">IF(H133&gt;0,TEXT(H133,"(aaa)"),"")</f>
        <v/>
      </c>
    </row>
    <row r="134" spans="1:9" s="164" customFormat="1" ht="17.399999999999999">
      <c r="A134" s="162"/>
      <c r="B134" s="163"/>
      <c r="C134" s="164" t="str">
        <f t="shared" si="6"/>
        <v/>
      </c>
      <c r="D134" s="165"/>
      <c r="E134" s="166"/>
      <c r="F134" s="164" t="str">
        <f t="shared" si="7"/>
        <v/>
      </c>
      <c r="G134" s="165"/>
      <c r="H134" s="166"/>
      <c r="I134" s="164" t="str">
        <f t="shared" si="8"/>
        <v/>
      </c>
    </row>
    <row r="135" spans="1:9" s="164" customFormat="1" ht="17.399999999999999">
      <c r="A135" s="162"/>
      <c r="B135" s="163"/>
      <c r="C135" s="164" t="str">
        <f t="shared" si="6"/>
        <v/>
      </c>
      <c r="D135" s="165"/>
      <c r="E135" s="166"/>
      <c r="F135" s="164" t="str">
        <f t="shared" si="7"/>
        <v/>
      </c>
      <c r="G135" s="165"/>
      <c r="H135" s="166"/>
      <c r="I135" s="164" t="str">
        <f t="shared" si="8"/>
        <v/>
      </c>
    </row>
    <row r="136" spans="1:9" s="164" customFormat="1" ht="17.399999999999999">
      <c r="A136" s="162"/>
      <c r="B136" s="163"/>
      <c r="C136" s="164" t="str">
        <f t="shared" si="6"/>
        <v/>
      </c>
      <c r="D136" s="165"/>
      <c r="E136" s="166"/>
      <c r="F136" s="164" t="str">
        <f t="shared" si="7"/>
        <v/>
      </c>
      <c r="G136" s="165"/>
      <c r="H136" s="166"/>
      <c r="I136" s="164" t="str">
        <f t="shared" si="8"/>
        <v/>
      </c>
    </row>
    <row r="137" spans="1:9" s="164" customFormat="1" ht="17.399999999999999">
      <c r="A137" s="162"/>
      <c r="B137" s="163"/>
      <c r="C137" s="164" t="str">
        <f t="shared" si="6"/>
        <v/>
      </c>
      <c r="D137" s="165"/>
      <c r="E137" s="166"/>
      <c r="F137" s="164" t="str">
        <f t="shared" si="7"/>
        <v/>
      </c>
      <c r="G137" s="165"/>
      <c r="H137" s="166"/>
      <c r="I137" s="164" t="str">
        <f t="shared" si="8"/>
        <v/>
      </c>
    </row>
    <row r="138" spans="1:9" s="164" customFormat="1" ht="17.399999999999999">
      <c r="A138" s="162"/>
      <c r="B138" s="163"/>
      <c r="C138" s="164" t="str">
        <f t="shared" si="6"/>
        <v/>
      </c>
      <c r="D138" s="165"/>
      <c r="E138" s="166"/>
      <c r="F138" s="164" t="str">
        <f t="shared" si="7"/>
        <v/>
      </c>
      <c r="G138" s="165"/>
      <c r="H138" s="166"/>
      <c r="I138" s="164" t="str">
        <f t="shared" si="8"/>
        <v/>
      </c>
    </row>
    <row r="139" spans="1:9" s="164" customFormat="1" ht="17.399999999999999">
      <c r="A139" s="162"/>
      <c r="B139" s="163"/>
      <c r="C139" s="164" t="str">
        <f t="shared" si="6"/>
        <v/>
      </c>
      <c r="D139" s="165"/>
      <c r="E139" s="166"/>
      <c r="F139" s="164" t="str">
        <f t="shared" si="7"/>
        <v/>
      </c>
      <c r="G139" s="165"/>
      <c r="H139" s="166"/>
      <c r="I139" s="164" t="str">
        <f t="shared" si="8"/>
        <v/>
      </c>
    </row>
    <row r="140" spans="1:9" s="164" customFormat="1" ht="17.399999999999999">
      <c r="A140" s="162"/>
      <c r="B140" s="163"/>
      <c r="C140" s="164" t="str">
        <f t="shared" si="6"/>
        <v/>
      </c>
      <c r="D140" s="165"/>
      <c r="E140" s="166"/>
      <c r="F140" s="164" t="str">
        <f t="shared" si="7"/>
        <v/>
      </c>
      <c r="G140" s="165"/>
      <c r="H140" s="166"/>
      <c r="I140" s="164" t="str">
        <f t="shared" si="8"/>
        <v/>
      </c>
    </row>
    <row r="141" spans="1:9" s="164" customFormat="1" ht="17.399999999999999">
      <c r="A141" s="162"/>
      <c r="B141" s="163"/>
      <c r="C141" s="164" t="str">
        <f t="shared" si="6"/>
        <v/>
      </c>
      <c r="D141" s="165"/>
      <c r="E141" s="166"/>
      <c r="F141" s="164" t="str">
        <f t="shared" si="7"/>
        <v/>
      </c>
      <c r="G141" s="165"/>
      <c r="H141" s="166"/>
      <c r="I141" s="164" t="str">
        <f t="shared" si="8"/>
        <v/>
      </c>
    </row>
    <row r="142" spans="1:9" s="164" customFormat="1" ht="17.399999999999999">
      <c r="A142" s="162"/>
      <c r="B142" s="163"/>
      <c r="C142" s="164" t="str">
        <f t="shared" si="6"/>
        <v/>
      </c>
      <c r="D142" s="165"/>
      <c r="E142" s="166"/>
      <c r="F142" s="164" t="str">
        <f t="shared" si="7"/>
        <v/>
      </c>
      <c r="G142" s="165"/>
      <c r="H142" s="166"/>
      <c r="I142" s="164" t="str">
        <f t="shared" si="8"/>
        <v/>
      </c>
    </row>
    <row r="143" spans="1:9" s="164" customFormat="1" ht="17.399999999999999">
      <c r="A143" s="162"/>
      <c r="B143" s="163"/>
      <c r="C143" s="164" t="str">
        <f t="shared" si="6"/>
        <v/>
      </c>
      <c r="D143" s="165"/>
      <c r="E143" s="166"/>
      <c r="F143" s="164" t="str">
        <f t="shared" si="7"/>
        <v/>
      </c>
      <c r="G143" s="165"/>
      <c r="H143" s="166"/>
      <c r="I143" s="164" t="str">
        <f t="shared" si="8"/>
        <v/>
      </c>
    </row>
    <row r="144" spans="1:9" s="164" customFormat="1" ht="17.399999999999999">
      <c r="A144" s="162"/>
      <c r="B144" s="163"/>
      <c r="C144" s="164" t="str">
        <f t="shared" si="6"/>
        <v/>
      </c>
      <c r="D144" s="165"/>
      <c r="E144" s="166"/>
      <c r="F144" s="164" t="str">
        <f t="shared" si="7"/>
        <v/>
      </c>
      <c r="G144" s="165"/>
      <c r="H144" s="166"/>
      <c r="I144" s="164" t="str">
        <f t="shared" si="8"/>
        <v/>
      </c>
    </row>
    <row r="145" spans="1:9" s="164" customFormat="1" ht="17.399999999999999">
      <c r="A145" s="162"/>
      <c r="B145" s="163"/>
      <c r="C145" s="164" t="str">
        <f t="shared" si="6"/>
        <v/>
      </c>
      <c r="D145" s="165"/>
      <c r="E145" s="166"/>
      <c r="F145" s="164" t="str">
        <f t="shared" si="7"/>
        <v/>
      </c>
      <c r="G145" s="165"/>
      <c r="H145" s="166"/>
      <c r="I145" s="164" t="str">
        <f t="shared" si="8"/>
        <v/>
      </c>
    </row>
    <row r="146" spans="1:9" s="164" customFormat="1" ht="17.399999999999999">
      <c r="A146" s="162"/>
      <c r="B146" s="163"/>
      <c r="C146" s="164" t="str">
        <f t="shared" si="6"/>
        <v/>
      </c>
      <c r="D146" s="165"/>
      <c r="E146" s="166"/>
      <c r="F146" s="164" t="str">
        <f t="shared" si="7"/>
        <v/>
      </c>
      <c r="G146" s="165"/>
      <c r="H146" s="166"/>
      <c r="I146" s="164" t="str">
        <f t="shared" si="8"/>
        <v/>
      </c>
    </row>
    <row r="147" spans="1:9" s="164" customFormat="1" ht="17.399999999999999">
      <c r="A147" s="162"/>
      <c r="B147" s="163"/>
      <c r="C147" s="164" t="str">
        <f t="shared" si="6"/>
        <v/>
      </c>
      <c r="D147" s="165"/>
      <c r="E147" s="166"/>
      <c r="F147" s="164" t="str">
        <f t="shared" si="7"/>
        <v/>
      </c>
      <c r="G147" s="165"/>
      <c r="H147" s="166"/>
      <c r="I147" s="164" t="str">
        <f t="shared" si="8"/>
        <v/>
      </c>
    </row>
    <row r="148" spans="1:9" s="164" customFormat="1" ht="17.399999999999999">
      <c r="A148" s="162"/>
      <c r="B148" s="163"/>
      <c r="C148" s="164" t="str">
        <f t="shared" si="6"/>
        <v/>
      </c>
      <c r="D148" s="165"/>
      <c r="E148" s="166"/>
      <c r="F148" s="164" t="str">
        <f t="shared" si="7"/>
        <v/>
      </c>
      <c r="G148" s="165"/>
      <c r="H148" s="166"/>
      <c r="I148" s="164" t="str">
        <f t="shared" si="8"/>
        <v/>
      </c>
    </row>
    <row r="149" spans="1:9" s="164" customFormat="1" ht="17.399999999999999">
      <c r="A149" s="162"/>
      <c r="B149" s="163"/>
      <c r="C149" s="164" t="str">
        <f t="shared" si="6"/>
        <v/>
      </c>
      <c r="D149" s="165"/>
      <c r="E149" s="166"/>
      <c r="F149" s="164" t="str">
        <f t="shared" si="7"/>
        <v/>
      </c>
      <c r="G149" s="165"/>
      <c r="H149" s="166"/>
      <c r="I149" s="164" t="str">
        <f t="shared" si="8"/>
        <v/>
      </c>
    </row>
    <row r="150" spans="1:9" s="164" customFormat="1" ht="17.399999999999999">
      <c r="A150" s="162"/>
      <c r="B150" s="163"/>
      <c r="C150" s="164" t="str">
        <f t="shared" si="6"/>
        <v/>
      </c>
      <c r="D150" s="165"/>
      <c r="E150" s="166"/>
      <c r="F150" s="164" t="str">
        <f t="shared" si="7"/>
        <v/>
      </c>
      <c r="G150" s="165"/>
      <c r="H150" s="166"/>
      <c r="I150" s="164" t="str">
        <f t="shared" si="8"/>
        <v/>
      </c>
    </row>
    <row r="151" spans="1:9" s="164" customFormat="1" ht="17.399999999999999">
      <c r="A151" s="162"/>
      <c r="B151" s="163"/>
      <c r="C151" s="164" t="str">
        <f t="shared" si="6"/>
        <v/>
      </c>
      <c r="D151" s="165"/>
      <c r="E151" s="166"/>
      <c r="F151" s="164" t="str">
        <f t="shared" si="7"/>
        <v/>
      </c>
      <c r="G151" s="165"/>
      <c r="H151" s="166"/>
      <c r="I151" s="164" t="str">
        <f t="shared" si="8"/>
        <v/>
      </c>
    </row>
    <row r="152" spans="1:9" s="164" customFormat="1" ht="17.399999999999999">
      <c r="A152" s="162"/>
      <c r="B152" s="163"/>
      <c r="C152" s="164" t="str">
        <f t="shared" si="6"/>
        <v/>
      </c>
      <c r="D152" s="165"/>
      <c r="E152" s="166"/>
      <c r="F152" s="164" t="str">
        <f t="shared" si="7"/>
        <v/>
      </c>
      <c r="G152" s="165"/>
      <c r="H152" s="166"/>
      <c r="I152" s="164" t="str">
        <f t="shared" si="8"/>
        <v/>
      </c>
    </row>
    <row r="153" spans="1:9" s="164" customFormat="1" ht="17.399999999999999">
      <c r="A153" s="162"/>
      <c r="B153" s="163"/>
      <c r="C153" s="164" t="str">
        <f t="shared" si="6"/>
        <v/>
      </c>
      <c r="D153" s="165"/>
      <c r="E153" s="166"/>
      <c r="F153" s="164" t="str">
        <f t="shared" si="7"/>
        <v/>
      </c>
      <c r="G153" s="165"/>
      <c r="H153" s="166"/>
      <c r="I153" s="164" t="str">
        <f t="shared" si="8"/>
        <v/>
      </c>
    </row>
    <row r="154" spans="1:9" s="164" customFormat="1" ht="17.399999999999999">
      <c r="A154" s="162"/>
      <c r="B154" s="163"/>
      <c r="C154" s="164" t="str">
        <f t="shared" si="6"/>
        <v/>
      </c>
      <c r="D154" s="165"/>
      <c r="E154" s="166"/>
      <c r="F154" s="164" t="str">
        <f t="shared" si="7"/>
        <v/>
      </c>
      <c r="G154" s="165"/>
      <c r="H154" s="166"/>
      <c r="I154" s="164" t="str">
        <f t="shared" si="8"/>
        <v/>
      </c>
    </row>
    <row r="155" spans="1:9" s="164" customFormat="1" ht="17.399999999999999">
      <c r="A155" s="162"/>
      <c r="B155" s="163"/>
      <c r="C155" s="164" t="str">
        <f t="shared" si="6"/>
        <v/>
      </c>
      <c r="D155" s="165"/>
      <c r="E155" s="166"/>
      <c r="F155" s="164" t="str">
        <f t="shared" si="7"/>
        <v/>
      </c>
      <c r="G155" s="165"/>
      <c r="H155" s="166"/>
      <c r="I155" s="164" t="str">
        <f t="shared" si="8"/>
        <v/>
      </c>
    </row>
    <row r="156" spans="1:9" s="164" customFormat="1" ht="17.399999999999999">
      <c r="A156" s="162"/>
      <c r="B156" s="163"/>
      <c r="C156" s="164" t="str">
        <f t="shared" si="6"/>
        <v/>
      </c>
      <c r="D156" s="165"/>
      <c r="E156" s="166"/>
      <c r="F156" s="164" t="str">
        <f t="shared" si="7"/>
        <v/>
      </c>
      <c r="G156" s="165"/>
      <c r="H156" s="166"/>
      <c r="I156" s="164" t="str">
        <f t="shared" si="8"/>
        <v/>
      </c>
    </row>
    <row r="157" spans="1:9" s="164" customFormat="1" ht="17.399999999999999">
      <c r="A157" s="162"/>
      <c r="B157" s="163"/>
      <c r="C157" s="164" t="str">
        <f t="shared" si="6"/>
        <v/>
      </c>
      <c r="D157" s="165"/>
      <c r="E157" s="166"/>
      <c r="F157" s="164" t="str">
        <f t="shared" si="7"/>
        <v/>
      </c>
      <c r="G157" s="165"/>
      <c r="H157" s="166"/>
      <c r="I157" s="164" t="str">
        <f t="shared" si="8"/>
        <v/>
      </c>
    </row>
    <row r="158" spans="1:9" s="164" customFormat="1" ht="17.399999999999999">
      <c r="A158" s="162"/>
      <c r="B158" s="163"/>
      <c r="C158" s="164" t="str">
        <f t="shared" si="6"/>
        <v/>
      </c>
      <c r="D158" s="165"/>
      <c r="E158" s="166"/>
      <c r="F158" s="164" t="str">
        <f t="shared" si="7"/>
        <v/>
      </c>
      <c r="G158" s="165"/>
      <c r="H158" s="166"/>
      <c r="I158" s="164" t="str">
        <f t="shared" si="8"/>
        <v/>
      </c>
    </row>
    <row r="159" spans="1:9" s="164" customFormat="1" ht="17.399999999999999">
      <c r="A159" s="162"/>
      <c r="B159" s="163"/>
      <c r="C159" s="164" t="str">
        <f t="shared" si="6"/>
        <v/>
      </c>
      <c r="D159" s="165"/>
      <c r="E159" s="166"/>
      <c r="F159" s="164" t="str">
        <f t="shared" si="7"/>
        <v/>
      </c>
      <c r="G159" s="165"/>
      <c r="H159" s="166"/>
      <c r="I159" s="164" t="str">
        <f t="shared" si="8"/>
        <v/>
      </c>
    </row>
    <row r="160" spans="1:9" s="164" customFormat="1" ht="17.399999999999999">
      <c r="A160" s="162"/>
      <c r="B160" s="163"/>
      <c r="C160" s="164" t="str">
        <f t="shared" si="6"/>
        <v/>
      </c>
      <c r="D160" s="165"/>
      <c r="E160" s="166"/>
      <c r="F160" s="164" t="str">
        <f t="shared" si="7"/>
        <v/>
      </c>
      <c r="G160" s="165"/>
      <c r="H160" s="166"/>
      <c r="I160" s="164" t="str">
        <f t="shared" si="8"/>
        <v/>
      </c>
    </row>
    <row r="161" spans="1:9" s="164" customFormat="1" ht="17.399999999999999">
      <c r="A161" s="162"/>
      <c r="B161" s="163"/>
      <c r="C161" s="164" t="str">
        <f t="shared" si="6"/>
        <v/>
      </c>
      <c r="D161" s="165"/>
      <c r="E161" s="166"/>
      <c r="F161" s="164" t="str">
        <f t="shared" si="7"/>
        <v/>
      </c>
      <c r="G161" s="165"/>
      <c r="H161" s="166"/>
      <c r="I161" s="164" t="str">
        <f t="shared" si="8"/>
        <v/>
      </c>
    </row>
    <row r="162" spans="1:9" s="164" customFormat="1" ht="17.399999999999999">
      <c r="A162" s="162"/>
      <c r="B162" s="163"/>
      <c r="C162" s="164" t="str">
        <f t="shared" si="6"/>
        <v/>
      </c>
      <c r="D162" s="165"/>
      <c r="E162" s="166"/>
      <c r="F162" s="164" t="str">
        <f t="shared" si="7"/>
        <v/>
      </c>
      <c r="G162" s="165"/>
      <c r="H162" s="166"/>
      <c r="I162" s="164" t="str">
        <f t="shared" si="8"/>
        <v/>
      </c>
    </row>
    <row r="163" spans="1:9" s="164" customFormat="1" ht="17.399999999999999">
      <c r="A163" s="162"/>
      <c r="B163" s="163"/>
      <c r="C163" s="164" t="str">
        <f t="shared" si="6"/>
        <v/>
      </c>
      <c r="D163" s="165"/>
      <c r="E163" s="166"/>
      <c r="F163" s="164" t="str">
        <f t="shared" si="7"/>
        <v/>
      </c>
      <c r="G163" s="165"/>
      <c r="H163" s="166"/>
      <c r="I163" s="164" t="str">
        <f t="shared" si="8"/>
        <v/>
      </c>
    </row>
    <row r="164" spans="1:9" s="164" customFormat="1" ht="17.399999999999999">
      <c r="A164" s="162"/>
      <c r="B164" s="163"/>
      <c r="C164" s="164" t="str">
        <f t="shared" si="6"/>
        <v/>
      </c>
      <c r="D164" s="165"/>
      <c r="E164" s="166"/>
      <c r="F164" s="164" t="str">
        <f t="shared" si="7"/>
        <v/>
      </c>
      <c r="G164" s="165"/>
      <c r="H164" s="166"/>
      <c r="I164" s="164" t="str">
        <f t="shared" si="8"/>
        <v/>
      </c>
    </row>
    <row r="165" spans="1:9" s="164" customFormat="1" ht="17.399999999999999">
      <c r="A165" s="162"/>
      <c r="B165" s="163"/>
      <c r="C165" s="164" t="str">
        <f t="shared" si="6"/>
        <v/>
      </c>
      <c r="D165" s="165"/>
      <c r="E165" s="166"/>
      <c r="F165" s="164" t="str">
        <f t="shared" si="7"/>
        <v/>
      </c>
      <c r="G165" s="165"/>
      <c r="H165" s="166"/>
      <c r="I165" s="164" t="str">
        <f t="shared" si="8"/>
        <v/>
      </c>
    </row>
    <row r="166" spans="1:9" s="164" customFormat="1" ht="17.399999999999999">
      <c r="A166" s="162"/>
      <c r="B166" s="163"/>
      <c r="C166" s="164" t="str">
        <f t="shared" si="6"/>
        <v/>
      </c>
      <c r="D166" s="165"/>
      <c r="E166" s="166"/>
      <c r="F166" s="164" t="str">
        <f t="shared" si="7"/>
        <v/>
      </c>
      <c r="G166" s="165"/>
      <c r="H166" s="166"/>
      <c r="I166" s="164" t="str">
        <f t="shared" si="8"/>
        <v/>
      </c>
    </row>
    <row r="167" spans="1:9" s="164" customFormat="1" ht="17.399999999999999">
      <c r="A167" s="162"/>
      <c r="B167" s="163"/>
      <c r="C167" s="164" t="str">
        <f t="shared" si="6"/>
        <v/>
      </c>
      <c r="D167" s="165"/>
      <c r="E167" s="166"/>
      <c r="F167" s="164" t="str">
        <f t="shared" si="7"/>
        <v/>
      </c>
      <c r="G167" s="165"/>
      <c r="H167" s="166"/>
      <c r="I167" s="164" t="str">
        <f t="shared" si="8"/>
        <v/>
      </c>
    </row>
    <row r="168" spans="1:9" s="164" customFormat="1" ht="17.399999999999999">
      <c r="A168" s="162"/>
      <c r="B168" s="163"/>
      <c r="C168" s="164" t="str">
        <f t="shared" si="6"/>
        <v/>
      </c>
      <c r="D168" s="165"/>
      <c r="E168" s="166"/>
      <c r="F168" s="164" t="str">
        <f t="shared" si="7"/>
        <v/>
      </c>
      <c r="G168" s="165"/>
      <c r="H168" s="166"/>
      <c r="I168" s="164" t="str">
        <f t="shared" si="8"/>
        <v/>
      </c>
    </row>
    <row r="169" spans="1:9" s="164" customFormat="1" ht="17.399999999999999">
      <c r="A169" s="162"/>
      <c r="B169" s="163"/>
      <c r="C169" s="164" t="str">
        <f t="shared" si="6"/>
        <v/>
      </c>
      <c r="D169" s="165"/>
      <c r="E169" s="166"/>
      <c r="F169" s="164" t="str">
        <f t="shared" si="7"/>
        <v/>
      </c>
      <c r="G169" s="165"/>
      <c r="H169" s="166"/>
      <c r="I169" s="164" t="str">
        <f t="shared" si="8"/>
        <v/>
      </c>
    </row>
    <row r="170" spans="1:9" s="164" customFormat="1" ht="17.399999999999999">
      <c r="A170" s="162"/>
      <c r="B170" s="163"/>
      <c r="C170" s="164" t="str">
        <f t="shared" si="6"/>
        <v/>
      </c>
      <c r="D170" s="165"/>
      <c r="E170" s="166"/>
      <c r="F170" s="164" t="str">
        <f t="shared" si="7"/>
        <v/>
      </c>
      <c r="G170" s="165"/>
      <c r="H170" s="166"/>
      <c r="I170" s="164" t="str">
        <f t="shared" si="8"/>
        <v/>
      </c>
    </row>
    <row r="171" spans="1:9" s="164" customFormat="1" ht="17.399999999999999">
      <c r="A171" s="162"/>
      <c r="B171" s="163"/>
      <c r="C171" s="164" t="str">
        <f t="shared" si="6"/>
        <v/>
      </c>
      <c r="D171" s="165"/>
      <c r="E171" s="166"/>
      <c r="F171" s="164" t="str">
        <f t="shared" si="7"/>
        <v/>
      </c>
      <c r="G171" s="165"/>
      <c r="H171" s="166"/>
      <c r="I171" s="164" t="str">
        <f t="shared" si="8"/>
        <v/>
      </c>
    </row>
    <row r="172" spans="1:9" s="164" customFormat="1" ht="17.399999999999999">
      <c r="A172" s="162"/>
      <c r="B172" s="163"/>
      <c r="C172" s="164" t="str">
        <f t="shared" si="6"/>
        <v/>
      </c>
      <c r="D172" s="165"/>
      <c r="E172" s="166"/>
      <c r="F172" s="164" t="str">
        <f t="shared" si="7"/>
        <v/>
      </c>
      <c r="G172" s="165"/>
      <c r="H172" s="166"/>
      <c r="I172" s="164" t="str">
        <f t="shared" si="8"/>
        <v/>
      </c>
    </row>
    <row r="173" spans="1:9" s="164" customFormat="1" ht="17.399999999999999">
      <c r="A173" s="162"/>
      <c r="B173" s="163"/>
      <c r="C173" s="164" t="str">
        <f t="shared" si="6"/>
        <v/>
      </c>
      <c r="D173" s="165"/>
      <c r="E173" s="166"/>
      <c r="F173" s="164" t="str">
        <f t="shared" si="7"/>
        <v/>
      </c>
      <c r="G173" s="165"/>
      <c r="H173" s="166"/>
      <c r="I173" s="164" t="str">
        <f t="shared" si="8"/>
        <v/>
      </c>
    </row>
    <row r="174" spans="1:9" s="164" customFormat="1" ht="17.399999999999999">
      <c r="A174" s="162"/>
      <c r="B174" s="163"/>
      <c r="C174" s="164" t="str">
        <f t="shared" si="6"/>
        <v/>
      </c>
      <c r="D174" s="165"/>
      <c r="E174" s="166"/>
      <c r="F174" s="164" t="str">
        <f t="shared" si="7"/>
        <v/>
      </c>
      <c r="G174" s="165"/>
      <c r="H174" s="166"/>
      <c r="I174" s="164" t="str">
        <f t="shared" si="8"/>
        <v/>
      </c>
    </row>
    <row r="175" spans="1:9" s="164" customFormat="1" ht="17.399999999999999">
      <c r="A175" s="162"/>
      <c r="B175" s="163"/>
      <c r="C175" s="164" t="str">
        <f t="shared" si="6"/>
        <v/>
      </c>
      <c r="D175" s="165"/>
      <c r="E175" s="166"/>
      <c r="F175" s="164" t="str">
        <f t="shared" si="7"/>
        <v/>
      </c>
      <c r="G175" s="165"/>
      <c r="H175" s="166"/>
      <c r="I175" s="164" t="str">
        <f t="shared" si="8"/>
        <v/>
      </c>
    </row>
    <row r="176" spans="1:9" s="164" customFormat="1" ht="17.399999999999999">
      <c r="A176" s="162"/>
      <c r="B176" s="163"/>
      <c r="C176" s="164" t="str">
        <f t="shared" si="6"/>
        <v/>
      </c>
      <c r="D176" s="165"/>
      <c r="E176" s="166"/>
      <c r="F176" s="164" t="str">
        <f t="shared" si="7"/>
        <v/>
      </c>
      <c r="G176" s="165"/>
      <c r="H176" s="166"/>
      <c r="I176" s="164" t="str">
        <f t="shared" si="8"/>
        <v/>
      </c>
    </row>
    <row r="177" spans="1:9" s="164" customFormat="1" ht="17.399999999999999">
      <c r="A177" s="162"/>
      <c r="B177" s="163"/>
      <c r="C177" s="164" t="str">
        <f t="shared" si="6"/>
        <v/>
      </c>
      <c r="D177" s="165"/>
      <c r="E177" s="166"/>
      <c r="F177" s="164" t="str">
        <f t="shared" si="7"/>
        <v/>
      </c>
      <c r="G177" s="165"/>
      <c r="H177" s="166"/>
      <c r="I177" s="164" t="str">
        <f t="shared" si="8"/>
        <v/>
      </c>
    </row>
    <row r="178" spans="1:9" s="164" customFormat="1" ht="17.399999999999999">
      <c r="A178" s="162"/>
      <c r="B178" s="163"/>
      <c r="C178" s="164" t="str">
        <f t="shared" si="6"/>
        <v/>
      </c>
      <c r="D178" s="165"/>
      <c r="E178" s="166"/>
      <c r="F178" s="164" t="str">
        <f t="shared" si="7"/>
        <v/>
      </c>
      <c r="G178" s="165"/>
      <c r="H178" s="166"/>
      <c r="I178" s="164" t="str">
        <f t="shared" si="8"/>
        <v/>
      </c>
    </row>
    <row r="179" spans="1:9" s="164" customFormat="1" ht="17.399999999999999">
      <c r="A179" s="162"/>
      <c r="B179" s="163"/>
      <c r="C179" s="164" t="str">
        <f t="shared" si="6"/>
        <v/>
      </c>
      <c r="D179" s="165"/>
      <c r="E179" s="166"/>
      <c r="F179" s="164" t="str">
        <f t="shared" si="7"/>
        <v/>
      </c>
      <c r="G179" s="165"/>
      <c r="H179" s="166"/>
      <c r="I179" s="164" t="str">
        <f t="shared" si="8"/>
        <v/>
      </c>
    </row>
    <row r="180" spans="1:9" s="164" customFormat="1" ht="17.399999999999999">
      <c r="A180" s="162"/>
      <c r="B180" s="163"/>
      <c r="C180" s="164" t="str">
        <f t="shared" si="6"/>
        <v/>
      </c>
      <c r="D180" s="165"/>
      <c r="E180" s="166"/>
      <c r="F180" s="164" t="str">
        <f t="shared" si="7"/>
        <v/>
      </c>
      <c r="G180" s="165"/>
      <c r="H180" s="166"/>
      <c r="I180" s="164" t="str">
        <f t="shared" si="8"/>
        <v/>
      </c>
    </row>
    <row r="181" spans="1:9" s="164" customFormat="1" ht="17.399999999999999">
      <c r="A181" s="162"/>
      <c r="B181" s="163"/>
      <c r="C181" s="164" t="str">
        <f t="shared" si="6"/>
        <v/>
      </c>
      <c r="D181" s="165"/>
      <c r="E181" s="166"/>
      <c r="F181" s="164" t="str">
        <f t="shared" si="7"/>
        <v/>
      </c>
      <c r="G181" s="165"/>
      <c r="H181" s="166"/>
      <c r="I181" s="164" t="str">
        <f t="shared" si="8"/>
        <v/>
      </c>
    </row>
    <row r="182" spans="1:9" s="164" customFormat="1" ht="17.399999999999999">
      <c r="A182" s="162"/>
      <c r="B182" s="163"/>
      <c r="C182" s="164" t="str">
        <f t="shared" si="6"/>
        <v/>
      </c>
      <c r="D182" s="165"/>
      <c r="E182" s="166"/>
      <c r="F182" s="164" t="str">
        <f t="shared" si="7"/>
        <v/>
      </c>
      <c r="G182" s="165"/>
      <c r="H182" s="166"/>
      <c r="I182" s="164" t="str">
        <f t="shared" si="8"/>
        <v/>
      </c>
    </row>
    <row r="183" spans="1:9" s="164" customFormat="1" ht="17.399999999999999">
      <c r="A183" s="162"/>
      <c r="B183" s="163"/>
      <c r="C183" s="164" t="str">
        <f t="shared" si="6"/>
        <v/>
      </c>
      <c r="D183" s="165"/>
      <c r="E183" s="166"/>
      <c r="F183" s="164" t="str">
        <f t="shared" si="7"/>
        <v/>
      </c>
      <c r="G183" s="165"/>
      <c r="H183" s="166"/>
      <c r="I183" s="164" t="str">
        <f t="shared" si="8"/>
        <v/>
      </c>
    </row>
    <row r="184" spans="1:9" s="164" customFormat="1" ht="17.399999999999999">
      <c r="A184" s="162"/>
      <c r="B184" s="163"/>
      <c r="C184" s="164" t="str">
        <f t="shared" si="6"/>
        <v/>
      </c>
      <c r="D184" s="165"/>
      <c r="E184" s="166"/>
      <c r="F184" s="164" t="str">
        <f t="shared" si="7"/>
        <v/>
      </c>
      <c r="G184" s="165"/>
      <c r="H184" s="166"/>
      <c r="I184" s="164" t="str">
        <f t="shared" si="8"/>
        <v/>
      </c>
    </row>
    <row r="185" spans="1:9" s="164" customFormat="1" ht="17.399999999999999">
      <c r="A185" s="162"/>
      <c r="B185" s="163"/>
      <c r="C185" s="164" t="str">
        <f t="shared" si="6"/>
        <v/>
      </c>
      <c r="D185" s="165"/>
      <c r="E185" s="166"/>
      <c r="F185" s="164" t="str">
        <f t="shared" si="7"/>
        <v/>
      </c>
      <c r="G185" s="165"/>
      <c r="H185" s="166"/>
      <c r="I185" s="164" t="str">
        <f t="shared" si="8"/>
        <v/>
      </c>
    </row>
    <row r="186" spans="1:9" s="164" customFormat="1" ht="17.399999999999999">
      <c r="A186" s="162"/>
      <c r="B186" s="163"/>
      <c r="C186" s="164" t="str">
        <f t="shared" si="6"/>
        <v/>
      </c>
      <c r="D186" s="165"/>
      <c r="E186" s="166"/>
      <c r="F186" s="164" t="str">
        <f t="shared" si="7"/>
        <v/>
      </c>
      <c r="G186" s="165"/>
      <c r="H186" s="166"/>
      <c r="I186" s="164" t="str">
        <f t="shared" si="8"/>
        <v/>
      </c>
    </row>
    <row r="187" spans="1:9" s="164" customFormat="1" ht="17.399999999999999">
      <c r="A187" s="162"/>
      <c r="B187" s="163"/>
      <c r="C187" s="164" t="str">
        <f t="shared" si="6"/>
        <v/>
      </c>
      <c r="D187" s="165"/>
      <c r="E187" s="166"/>
      <c r="F187" s="164" t="str">
        <f t="shared" si="7"/>
        <v/>
      </c>
      <c r="G187" s="165"/>
      <c r="H187" s="166"/>
      <c r="I187" s="164" t="str">
        <f t="shared" si="8"/>
        <v/>
      </c>
    </row>
    <row r="188" spans="1:9" s="164" customFormat="1" ht="17.399999999999999">
      <c r="A188" s="162"/>
      <c r="B188" s="163"/>
      <c r="C188" s="164" t="str">
        <f t="shared" si="6"/>
        <v/>
      </c>
      <c r="D188" s="165"/>
      <c r="E188" s="166"/>
      <c r="F188" s="164" t="str">
        <f t="shared" si="7"/>
        <v/>
      </c>
      <c r="G188" s="165"/>
      <c r="H188" s="166"/>
      <c r="I188" s="164" t="str">
        <f t="shared" si="8"/>
        <v/>
      </c>
    </row>
    <row r="189" spans="1:9" s="164" customFormat="1" ht="17.399999999999999">
      <c r="A189" s="162"/>
      <c r="B189" s="163"/>
      <c r="C189" s="164" t="str">
        <f t="shared" si="6"/>
        <v/>
      </c>
      <c r="D189" s="165"/>
      <c r="E189" s="166"/>
      <c r="F189" s="164" t="str">
        <f t="shared" si="7"/>
        <v/>
      </c>
      <c r="G189" s="165"/>
      <c r="H189" s="166"/>
      <c r="I189" s="164" t="str">
        <f t="shared" si="8"/>
        <v/>
      </c>
    </row>
    <row r="190" spans="1:9" s="164" customFormat="1" ht="17.399999999999999">
      <c r="A190" s="162"/>
      <c r="B190" s="163"/>
      <c r="C190" s="164" t="str">
        <f t="shared" si="6"/>
        <v/>
      </c>
      <c r="D190" s="165"/>
      <c r="E190" s="166"/>
      <c r="F190" s="164" t="str">
        <f t="shared" si="7"/>
        <v/>
      </c>
      <c r="G190" s="165"/>
      <c r="H190" s="166"/>
      <c r="I190" s="164" t="str">
        <f t="shared" si="8"/>
        <v/>
      </c>
    </row>
    <row r="191" spans="1:9" s="164" customFormat="1" ht="17.399999999999999">
      <c r="A191" s="162"/>
      <c r="B191" s="163"/>
      <c r="C191" s="164" t="str">
        <f t="shared" si="6"/>
        <v/>
      </c>
      <c r="D191" s="165"/>
      <c r="E191" s="166"/>
      <c r="F191" s="164" t="str">
        <f t="shared" si="7"/>
        <v/>
      </c>
      <c r="G191" s="165"/>
      <c r="H191" s="166"/>
      <c r="I191" s="164" t="str">
        <f t="shared" si="8"/>
        <v/>
      </c>
    </row>
    <row r="192" spans="1:9" s="164" customFormat="1" ht="17.399999999999999">
      <c r="A192" s="162"/>
      <c r="B192" s="163"/>
      <c r="C192" s="164" t="str">
        <f t="shared" si="6"/>
        <v/>
      </c>
      <c r="D192" s="165"/>
      <c r="E192" s="166"/>
      <c r="F192" s="164" t="str">
        <f t="shared" si="7"/>
        <v/>
      </c>
      <c r="G192" s="165"/>
      <c r="H192" s="166"/>
      <c r="I192" s="164" t="str">
        <f t="shared" si="8"/>
        <v/>
      </c>
    </row>
    <row r="193" spans="1:9" s="164" customFormat="1" ht="17.399999999999999">
      <c r="A193" s="162"/>
      <c r="B193" s="163"/>
      <c r="C193" s="164" t="str">
        <f t="shared" si="6"/>
        <v/>
      </c>
      <c r="D193" s="165"/>
      <c r="E193" s="166"/>
      <c r="F193" s="164" t="str">
        <f t="shared" si="7"/>
        <v/>
      </c>
      <c r="G193" s="165"/>
      <c r="H193" s="166"/>
      <c r="I193" s="164" t="str">
        <f t="shared" si="8"/>
        <v/>
      </c>
    </row>
    <row r="194" spans="1:9" s="164" customFormat="1" ht="17.399999999999999">
      <c r="A194" s="162"/>
      <c r="B194" s="163"/>
      <c r="C194" s="164" t="str">
        <f t="shared" si="6"/>
        <v/>
      </c>
      <c r="D194" s="165"/>
      <c r="E194" s="166"/>
      <c r="F194" s="164" t="str">
        <f t="shared" si="7"/>
        <v/>
      </c>
      <c r="G194" s="165"/>
      <c r="H194" s="166"/>
      <c r="I194" s="164" t="str">
        <f t="shared" si="8"/>
        <v/>
      </c>
    </row>
    <row r="195" spans="1:9" s="164" customFormat="1" ht="17.399999999999999">
      <c r="A195" s="162"/>
      <c r="B195" s="163"/>
      <c r="C195" s="164" t="str">
        <f t="shared" si="6"/>
        <v/>
      </c>
      <c r="D195" s="165"/>
      <c r="E195" s="166"/>
      <c r="F195" s="164" t="str">
        <f t="shared" si="7"/>
        <v/>
      </c>
      <c r="G195" s="165"/>
      <c r="H195" s="166"/>
      <c r="I195" s="164" t="str">
        <f t="shared" si="8"/>
        <v/>
      </c>
    </row>
    <row r="196" spans="1:9" s="164" customFormat="1" ht="17.399999999999999">
      <c r="A196" s="162"/>
      <c r="B196" s="163"/>
      <c r="C196" s="164" t="str">
        <f t="shared" si="6"/>
        <v/>
      </c>
      <c r="D196" s="165"/>
      <c r="E196" s="166"/>
      <c r="F196" s="164" t="str">
        <f t="shared" si="7"/>
        <v/>
      </c>
      <c r="G196" s="165"/>
      <c r="H196" s="166"/>
      <c r="I196" s="164" t="str">
        <f t="shared" si="8"/>
        <v/>
      </c>
    </row>
    <row r="197" spans="1:9" s="164" customFormat="1" ht="17.399999999999999">
      <c r="A197" s="162"/>
      <c r="B197" s="163"/>
      <c r="C197" s="164" t="str">
        <f t="shared" ref="C197:C260" si="9">IF(B197&gt;0,TEXT(B197,"(aaa)"),"")</f>
        <v/>
      </c>
      <c r="D197" s="165"/>
      <c r="E197" s="166"/>
      <c r="F197" s="164" t="str">
        <f t="shared" ref="F197:F260" si="10">IF(E197&gt;0,TEXT(E197,"(aaa)"),"")</f>
        <v/>
      </c>
      <c r="G197" s="165"/>
      <c r="H197" s="166"/>
      <c r="I197" s="164" t="str">
        <f t="shared" ref="I197:I260" si="11">IF(H197&gt;0,TEXT(H197,"(aaa)"),"")</f>
        <v/>
      </c>
    </row>
    <row r="198" spans="1:9" s="164" customFormat="1" ht="17.399999999999999">
      <c r="A198" s="162"/>
      <c r="B198" s="163"/>
      <c r="C198" s="164" t="str">
        <f t="shared" si="9"/>
        <v/>
      </c>
      <c r="D198" s="165"/>
      <c r="E198" s="166"/>
      <c r="F198" s="164" t="str">
        <f t="shared" si="10"/>
        <v/>
      </c>
      <c r="G198" s="165"/>
      <c r="H198" s="166"/>
      <c r="I198" s="164" t="str">
        <f t="shared" si="11"/>
        <v/>
      </c>
    </row>
    <row r="199" spans="1:9" s="164" customFormat="1" ht="17.399999999999999">
      <c r="A199" s="162"/>
      <c r="B199" s="163"/>
      <c r="C199" s="164" t="str">
        <f t="shared" si="9"/>
        <v/>
      </c>
      <c r="D199" s="165"/>
      <c r="E199" s="166"/>
      <c r="F199" s="164" t="str">
        <f t="shared" si="10"/>
        <v/>
      </c>
      <c r="G199" s="165"/>
      <c r="H199" s="166"/>
      <c r="I199" s="164" t="str">
        <f t="shared" si="11"/>
        <v/>
      </c>
    </row>
    <row r="200" spans="1:9" s="164" customFormat="1" ht="17.399999999999999">
      <c r="A200" s="162"/>
      <c r="B200" s="163"/>
      <c r="C200" s="164" t="str">
        <f t="shared" si="9"/>
        <v/>
      </c>
      <c r="D200" s="165"/>
      <c r="E200" s="166"/>
      <c r="F200" s="164" t="str">
        <f t="shared" si="10"/>
        <v/>
      </c>
      <c r="G200" s="165"/>
      <c r="H200" s="166"/>
      <c r="I200" s="164" t="str">
        <f t="shared" si="11"/>
        <v/>
      </c>
    </row>
    <row r="201" spans="1:9" s="164" customFormat="1" ht="17.399999999999999">
      <c r="A201" s="162"/>
      <c r="B201" s="163"/>
      <c r="C201" s="164" t="str">
        <f t="shared" si="9"/>
        <v/>
      </c>
      <c r="D201" s="165"/>
      <c r="E201" s="166"/>
      <c r="F201" s="164" t="str">
        <f t="shared" si="10"/>
        <v/>
      </c>
      <c r="G201" s="165"/>
      <c r="H201" s="166"/>
      <c r="I201" s="164" t="str">
        <f t="shared" si="11"/>
        <v/>
      </c>
    </row>
    <row r="202" spans="1:9" s="164" customFormat="1" ht="17.399999999999999">
      <c r="A202" s="162"/>
      <c r="B202" s="163"/>
      <c r="C202" s="164" t="str">
        <f t="shared" si="9"/>
        <v/>
      </c>
      <c r="D202" s="165"/>
      <c r="E202" s="166"/>
      <c r="F202" s="164" t="str">
        <f t="shared" si="10"/>
        <v/>
      </c>
      <c r="G202" s="165"/>
      <c r="H202" s="166"/>
      <c r="I202" s="164" t="str">
        <f t="shared" si="11"/>
        <v/>
      </c>
    </row>
    <row r="203" spans="1:9" s="164" customFormat="1" ht="17.399999999999999">
      <c r="A203" s="162"/>
      <c r="B203" s="163"/>
      <c r="C203" s="164" t="str">
        <f t="shared" si="9"/>
        <v/>
      </c>
      <c r="D203" s="165"/>
      <c r="E203" s="166"/>
      <c r="F203" s="164" t="str">
        <f t="shared" si="10"/>
        <v/>
      </c>
      <c r="G203" s="165"/>
      <c r="H203" s="166"/>
      <c r="I203" s="164" t="str">
        <f t="shared" si="11"/>
        <v/>
      </c>
    </row>
    <row r="204" spans="1:9" s="164" customFormat="1" ht="17.399999999999999">
      <c r="A204" s="162"/>
      <c r="B204" s="163"/>
      <c r="C204" s="164" t="str">
        <f t="shared" si="9"/>
        <v/>
      </c>
      <c r="D204" s="165"/>
      <c r="E204" s="166"/>
      <c r="F204" s="164" t="str">
        <f t="shared" si="10"/>
        <v/>
      </c>
      <c r="G204" s="165"/>
      <c r="H204" s="166"/>
      <c r="I204" s="164" t="str">
        <f t="shared" si="11"/>
        <v/>
      </c>
    </row>
    <row r="205" spans="1:9" s="164" customFormat="1" ht="17.399999999999999">
      <c r="A205" s="162"/>
      <c r="B205" s="163"/>
      <c r="C205" s="164" t="str">
        <f t="shared" si="9"/>
        <v/>
      </c>
      <c r="D205" s="165"/>
      <c r="E205" s="166"/>
      <c r="F205" s="164" t="str">
        <f t="shared" si="10"/>
        <v/>
      </c>
      <c r="G205" s="165"/>
      <c r="H205" s="166"/>
      <c r="I205" s="164" t="str">
        <f t="shared" si="11"/>
        <v/>
      </c>
    </row>
    <row r="206" spans="1:9" s="164" customFormat="1" ht="17.399999999999999">
      <c r="A206" s="162"/>
      <c r="B206" s="163"/>
      <c r="C206" s="164" t="str">
        <f t="shared" si="9"/>
        <v/>
      </c>
      <c r="D206" s="165"/>
      <c r="E206" s="166"/>
      <c r="F206" s="164" t="str">
        <f t="shared" si="10"/>
        <v/>
      </c>
      <c r="G206" s="165"/>
      <c r="H206" s="166"/>
      <c r="I206" s="164" t="str">
        <f t="shared" si="11"/>
        <v/>
      </c>
    </row>
    <row r="207" spans="1:9" s="164" customFormat="1" ht="17.399999999999999">
      <c r="A207" s="162"/>
      <c r="B207" s="163"/>
      <c r="C207" s="164" t="str">
        <f t="shared" si="9"/>
        <v/>
      </c>
      <c r="D207" s="165"/>
      <c r="E207" s="166"/>
      <c r="F207" s="164" t="str">
        <f t="shared" si="10"/>
        <v/>
      </c>
      <c r="G207" s="165"/>
      <c r="H207" s="166"/>
      <c r="I207" s="164" t="str">
        <f t="shared" si="11"/>
        <v/>
      </c>
    </row>
    <row r="208" spans="1:9" s="164" customFormat="1" ht="17.399999999999999">
      <c r="A208" s="162"/>
      <c r="B208" s="163"/>
      <c r="C208" s="164" t="str">
        <f t="shared" si="9"/>
        <v/>
      </c>
      <c r="D208" s="165"/>
      <c r="E208" s="166"/>
      <c r="F208" s="164" t="str">
        <f t="shared" si="10"/>
        <v/>
      </c>
      <c r="G208" s="165"/>
      <c r="H208" s="166"/>
      <c r="I208" s="164" t="str">
        <f t="shared" si="11"/>
        <v/>
      </c>
    </row>
    <row r="209" spans="1:9" s="164" customFormat="1" ht="17.399999999999999">
      <c r="A209" s="162"/>
      <c r="B209" s="163"/>
      <c r="C209" s="164" t="str">
        <f t="shared" si="9"/>
        <v/>
      </c>
      <c r="D209" s="165"/>
      <c r="E209" s="166"/>
      <c r="F209" s="164" t="str">
        <f t="shared" si="10"/>
        <v/>
      </c>
      <c r="G209" s="165"/>
      <c r="H209" s="166"/>
      <c r="I209" s="164" t="str">
        <f t="shared" si="11"/>
        <v/>
      </c>
    </row>
    <row r="210" spans="1:9" s="164" customFormat="1" ht="17.399999999999999">
      <c r="A210" s="162"/>
      <c r="B210" s="163"/>
      <c r="C210" s="164" t="str">
        <f t="shared" si="9"/>
        <v/>
      </c>
      <c r="D210" s="165"/>
      <c r="E210" s="166"/>
      <c r="F210" s="164" t="str">
        <f t="shared" si="10"/>
        <v/>
      </c>
      <c r="G210" s="165"/>
      <c r="H210" s="166"/>
      <c r="I210" s="164" t="str">
        <f t="shared" si="11"/>
        <v/>
      </c>
    </row>
    <row r="211" spans="1:9" s="164" customFormat="1" ht="17.399999999999999">
      <c r="A211" s="162"/>
      <c r="B211" s="163"/>
      <c r="C211" s="164" t="str">
        <f t="shared" si="9"/>
        <v/>
      </c>
      <c r="D211" s="165"/>
      <c r="E211" s="166"/>
      <c r="F211" s="164" t="str">
        <f t="shared" si="10"/>
        <v/>
      </c>
      <c r="G211" s="165"/>
      <c r="H211" s="166"/>
      <c r="I211" s="164" t="str">
        <f t="shared" si="11"/>
        <v/>
      </c>
    </row>
    <row r="212" spans="1:9" s="164" customFormat="1" ht="17.399999999999999">
      <c r="A212" s="162"/>
      <c r="B212" s="163"/>
      <c r="C212" s="164" t="str">
        <f t="shared" si="9"/>
        <v/>
      </c>
      <c r="D212" s="165"/>
      <c r="E212" s="166"/>
      <c r="F212" s="164" t="str">
        <f t="shared" si="10"/>
        <v/>
      </c>
      <c r="G212" s="165"/>
      <c r="H212" s="166"/>
      <c r="I212" s="164" t="str">
        <f t="shared" si="11"/>
        <v/>
      </c>
    </row>
    <row r="213" spans="1:9" s="164" customFormat="1" ht="17.399999999999999">
      <c r="A213" s="162"/>
      <c r="B213" s="163"/>
      <c r="C213" s="164" t="str">
        <f t="shared" si="9"/>
        <v/>
      </c>
      <c r="D213" s="165"/>
      <c r="E213" s="166"/>
      <c r="F213" s="164" t="str">
        <f t="shared" si="10"/>
        <v/>
      </c>
      <c r="G213" s="165"/>
      <c r="H213" s="166"/>
      <c r="I213" s="164" t="str">
        <f t="shared" si="11"/>
        <v/>
      </c>
    </row>
    <row r="214" spans="1:9" s="164" customFormat="1" ht="17.399999999999999">
      <c r="A214" s="162"/>
      <c r="B214" s="163"/>
      <c r="C214" s="164" t="str">
        <f t="shared" si="9"/>
        <v/>
      </c>
      <c r="D214" s="165"/>
      <c r="E214" s="166"/>
      <c r="F214" s="164" t="str">
        <f t="shared" si="10"/>
        <v/>
      </c>
      <c r="G214" s="165"/>
      <c r="H214" s="166"/>
      <c r="I214" s="164" t="str">
        <f t="shared" si="11"/>
        <v/>
      </c>
    </row>
    <row r="215" spans="1:9" s="164" customFormat="1" ht="17.399999999999999">
      <c r="A215" s="162"/>
      <c r="B215" s="163"/>
      <c r="C215" s="164" t="str">
        <f t="shared" si="9"/>
        <v/>
      </c>
      <c r="D215" s="165"/>
      <c r="E215" s="166"/>
      <c r="F215" s="164" t="str">
        <f t="shared" si="10"/>
        <v/>
      </c>
      <c r="G215" s="165"/>
      <c r="H215" s="166"/>
      <c r="I215" s="164" t="str">
        <f t="shared" si="11"/>
        <v/>
      </c>
    </row>
    <row r="216" spans="1:9" s="164" customFormat="1" ht="17.399999999999999">
      <c r="A216" s="162"/>
      <c r="B216" s="163"/>
      <c r="C216" s="164" t="str">
        <f t="shared" si="9"/>
        <v/>
      </c>
      <c r="D216" s="165"/>
      <c r="E216" s="166"/>
      <c r="F216" s="164" t="str">
        <f t="shared" si="10"/>
        <v/>
      </c>
      <c r="G216" s="165"/>
      <c r="H216" s="166"/>
      <c r="I216" s="164" t="str">
        <f t="shared" si="11"/>
        <v/>
      </c>
    </row>
    <row r="217" spans="1:9" s="164" customFormat="1" ht="17.399999999999999">
      <c r="A217" s="162"/>
      <c r="B217" s="163"/>
      <c r="C217" s="164" t="str">
        <f t="shared" si="9"/>
        <v/>
      </c>
      <c r="D217" s="165"/>
      <c r="E217" s="166"/>
      <c r="F217" s="164" t="str">
        <f t="shared" si="10"/>
        <v/>
      </c>
      <c r="G217" s="165"/>
      <c r="H217" s="166"/>
      <c r="I217" s="164" t="str">
        <f t="shared" si="11"/>
        <v/>
      </c>
    </row>
    <row r="218" spans="1:9" s="164" customFormat="1" ht="17.399999999999999">
      <c r="A218" s="162"/>
      <c r="B218" s="163"/>
      <c r="C218" s="164" t="str">
        <f t="shared" si="9"/>
        <v/>
      </c>
      <c r="D218" s="165"/>
      <c r="E218" s="166"/>
      <c r="F218" s="164" t="str">
        <f t="shared" si="10"/>
        <v/>
      </c>
      <c r="G218" s="165"/>
      <c r="H218" s="166"/>
      <c r="I218" s="164" t="str">
        <f t="shared" si="11"/>
        <v/>
      </c>
    </row>
    <row r="219" spans="1:9" s="164" customFormat="1" ht="17.399999999999999">
      <c r="A219" s="162"/>
      <c r="B219" s="163"/>
      <c r="C219" s="164" t="str">
        <f t="shared" si="9"/>
        <v/>
      </c>
      <c r="D219" s="165"/>
      <c r="E219" s="166"/>
      <c r="F219" s="164" t="str">
        <f t="shared" si="10"/>
        <v/>
      </c>
      <c r="G219" s="165"/>
      <c r="H219" s="166"/>
      <c r="I219" s="164" t="str">
        <f t="shared" si="11"/>
        <v/>
      </c>
    </row>
    <row r="220" spans="1:9" s="164" customFormat="1" ht="17.399999999999999">
      <c r="A220" s="162"/>
      <c r="B220" s="163"/>
      <c r="C220" s="164" t="str">
        <f t="shared" si="9"/>
        <v/>
      </c>
      <c r="D220" s="165"/>
      <c r="E220" s="166"/>
      <c r="F220" s="164" t="str">
        <f t="shared" si="10"/>
        <v/>
      </c>
      <c r="G220" s="165"/>
      <c r="H220" s="166"/>
      <c r="I220" s="164" t="str">
        <f t="shared" si="11"/>
        <v/>
      </c>
    </row>
    <row r="221" spans="1:9" s="164" customFormat="1" ht="17.399999999999999">
      <c r="A221" s="162"/>
      <c r="B221" s="163"/>
      <c r="C221" s="164" t="str">
        <f t="shared" si="9"/>
        <v/>
      </c>
      <c r="D221" s="165"/>
      <c r="E221" s="166"/>
      <c r="F221" s="164" t="str">
        <f t="shared" si="10"/>
        <v/>
      </c>
      <c r="G221" s="165"/>
      <c r="H221" s="166"/>
      <c r="I221" s="164" t="str">
        <f t="shared" si="11"/>
        <v/>
      </c>
    </row>
    <row r="222" spans="1:9" s="164" customFormat="1" ht="17.399999999999999">
      <c r="A222" s="162"/>
      <c r="B222" s="163"/>
      <c r="C222" s="164" t="str">
        <f t="shared" si="9"/>
        <v/>
      </c>
      <c r="D222" s="165"/>
      <c r="E222" s="166"/>
      <c r="F222" s="164" t="str">
        <f t="shared" si="10"/>
        <v/>
      </c>
      <c r="G222" s="165"/>
      <c r="H222" s="166"/>
      <c r="I222" s="164" t="str">
        <f t="shared" si="11"/>
        <v/>
      </c>
    </row>
    <row r="223" spans="1:9" s="164" customFormat="1" ht="17.399999999999999">
      <c r="A223" s="162"/>
      <c r="B223" s="163"/>
      <c r="C223" s="164" t="str">
        <f t="shared" si="9"/>
        <v/>
      </c>
      <c r="D223" s="165"/>
      <c r="E223" s="166"/>
      <c r="F223" s="164" t="str">
        <f t="shared" si="10"/>
        <v/>
      </c>
      <c r="G223" s="165"/>
      <c r="H223" s="166"/>
      <c r="I223" s="164" t="str">
        <f t="shared" si="11"/>
        <v/>
      </c>
    </row>
    <row r="224" spans="1:9" s="164" customFormat="1" ht="17.399999999999999">
      <c r="A224" s="162"/>
      <c r="B224" s="163"/>
      <c r="C224" s="164" t="str">
        <f t="shared" si="9"/>
        <v/>
      </c>
      <c r="D224" s="165"/>
      <c r="E224" s="166"/>
      <c r="F224" s="164" t="str">
        <f t="shared" si="10"/>
        <v/>
      </c>
      <c r="G224" s="165"/>
      <c r="H224" s="166"/>
      <c r="I224" s="164" t="str">
        <f t="shared" si="11"/>
        <v/>
      </c>
    </row>
    <row r="225" spans="1:9" s="164" customFormat="1" ht="17.399999999999999">
      <c r="A225" s="162"/>
      <c r="B225" s="163"/>
      <c r="C225" s="164" t="str">
        <f t="shared" si="9"/>
        <v/>
      </c>
      <c r="D225" s="165"/>
      <c r="E225" s="166"/>
      <c r="F225" s="164" t="str">
        <f t="shared" si="10"/>
        <v/>
      </c>
      <c r="G225" s="165"/>
      <c r="H225" s="166"/>
      <c r="I225" s="164" t="str">
        <f t="shared" si="11"/>
        <v/>
      </c>
    </row>
    <row r="226" spans="1:9" s="164" customFormat="1" ht="17.399999999999999">
      <c r="A226" s="162"/>
      <c r="B226" s="163"/>
      <c r="C226" s="164" t="str">
        <f t="shared" si="9"/>
        <v/>
      </c>
      <c r="D226" s="165"/>
      <c r="E226" s="166"/>
      <c r="F226" s="164" t="str">
        <f t="shared" si="10"/>
        <v/>
      </c>
      <c r="G226" s="165"/>
      <c r="H226" s="166"/>
      <c r="I226" s="164" t="str">
        <f t="shared" si="11"/>
        <v/>
      </c>
    </row>
    <row r="227" spans="1:9" s="164" customFormat="1" ht="17.399999999999999">
      <c r="A227" s="162"/>
      <c r="B227" s="163"/>
      <c r="C227" s="164" t="str">
        <f t="shared" si="9"/>
        <v/>
      </c>
      <c r="D227" s="165"/>
      <c r="E227" s="166"/>
      <c r="F227" s="164" t="str">
        <f t="shared" si="10"/>
        <v/>
      </c>
      <c r="G227" s="165"/>
      <c r="H227" s="166"/>
      <c r="I227" s="164" t="str">
        <f t="shared" si="11"/>
        <v/>
      </c>
    </row>
    <row r="228" spans="1:9" s="164" customFormat="1" ht="17.399999999999999">
      <c r="A228" s="162"/>
      <c r="B228" s="163"/>
      <c r="C228" s="164" t="str">
        <f t="shared" si="9"/>
        <v/>
      </c>
      <c r="D228" s="165"/>
      <c r="E228" s="166"/>
      <c r="F228" s="164" t="str">
        <f t="shared" si="10"/>
        <v/>
      </c>
      <c r="G228" s="165"/>
      <c r="H228" s="166"/>
      <c r="I228" s="164" t="str">
        <f t="shared" si="11"/>
        <v/>
      </c>
    </row>
    <row r="229" spans="1:9" s="164" customFormat="1" ht="17.399999999999999">
      <c r="A229" s="162"/>
      <c r="B229" s="163"/>
      <c r="C229" s="164" t="str">
        <f t="shared" si="9"/>
        <v/>
      </c>
      <c r="D229" s="165"/>
      <c r="E229" s="166"/>
      <c r="F229" s="164" t="str">
        <f t="shared" si="10"/>
        <v/>
      </c>
      <c r="G229" s="165"/>
      <c r="H229" s="166"/>
      <c r="I229" s="164" t="str">
        <f t="shared" si="11"/>
        <v/>
      </c>
    </row>
    <row r="230" spans="1:9" s="164" customFormat="1" ht="17.399999999999999">
      <c r="A230" s="162"/>
      <c r="B230" s="163"/>
      <c r="C230" s="164" t="str">
        <f t="shared" si="9"/>
        <v/>
      </c>
      <c r="D230" s="165"/>
      <c r="E230" s="166"/>
      <c r="F230" s="164" t="str">
        <f t="shared" si="10"/>
        <v/>
      </c>
      <c r="G230" s="165"/>
      <c r="H230" s="166"/>
      <c r="I230" s="164" t="str">
        <f t="shared" si="11"/>
        <v/>
      </c>
    </row>
    <row r="231" spans="1:9" s="164" customFormat="1" ht="17.399999999999999">
      <c r="A231" s="162"/>
      <c r="B231" s="163"/>
      <c r="C231" s="164" t="str">
        <f t="shared" si="9"/>
        <v/>
      </c>
      <c r="D231" s="165"/>
      <c r="E231" s="166"/>
      <c r="F231" s="164" t="str">
        <f t="shared" si="10"/>
        <v/>
      </c>
      <c r="G231" s="165"/>
      <c r="H231" s="166"/>
      <c r="I231" s="164" t="str">
        <f t="shared" si="11"/>
        <v/>
      </c>
    </row>
    <row r="232" spans="1:9" s="164" customFormat="1" ht="17.399999999999999">
      <c r="A232" s="162"/>
      <c r="B232" s="163"/>
      <c r="C232" s="164" t="str">
        <f t="shared" si="9"/>
        <v/>
      </c>
      <c r="D232" s="165"/>
      <c r="E232" s="166"/>
      <c r="F232" s="164" t="str">
        <f t="shared" si="10"/>
        <v/>
      </c>
      <c r="G232" s="165"/>
      <c r="H232" s="166"/>
      <c r="I232" s="164" t="str">
        <f t="shared" si="11"/>
        <v/>
      </c>
    </row>
    <row r="233" spans="1:9" s="164" customFormat="1" ht="17.399999999999999">
      <c r="A233" s="162"/>
      <c r="B233" s="163"/>
      <c r="C233" s="164" t="str">
        <f t="shared" si="9"/>
        <v/>
      </c>
      <c r="D233" s="165"/>
      <c r="E233" s="166"/>
      <c r="F233" s="164" t="str">
        <f t="shared" si="10"/>
        <v/>
      </c>
      <c r="G233" s="165"/>
      <c r="H233" s="166"/>
      <c r="I233" s="164" t="str">
        <f t="shared" si="11"/>
        <v/>
      </c>
    </row>
    <row r="234" spans="1:9" s="164" customFormat="1" ht="17.399999999999999">
      <c r="A234" s="162"/>
      <c r="B234" s="163"/>
      <c r="C234" s="164" t="str">
        <f t="shared" si="9"/>
        <v/>
      </c>
      <c r="D234" s="165"/>
      <c r="E234" s="166"/>
      <c r="F234" s="164" t="str">
        <f t="shared" si="10"/>
        <v/>
      </c>
      <c r="G234" s="165"/>
      <c r="H234" s="166"/>
      <c r="I234" s="164" t="str">
        <f t="shared" si="11"/>
        <v/>
      </c>
    </row>
    <row r="235" spans="1:9" s="164" customFormat="1" ht="17.399999999999999">
      <c r="A235" s="162"/>
      <c r="B235" s="163"/>
      <c r="C235" s="164" t="str">
        <f t="shared" si="9"/>
        <v/>
      </c>
      <c r="D235" s="165"/>
      <c r="E235" s="166"/>
      <c r="F235" s="164" t="str">
        <f t="shared" si="10"/>
        <v/>
      </c>
      <c r="G235" s="165"/>
      <c r="H235" s="166"/>
      <c r="I235" s="164" t="str">
        <f t="shared" si="11"/>
        <v/>
      </c>
    </row>
    <row r="236" spans="1:9" s="164" customFormat="1" ht="17.399999999999999">
      <c r="A236" s="162"/>
      <c r="B236" s="163"/>
      <c r="C236" s="164" t="str">
        <f t="shared" si="9"/>
        <v/>
      </c>
      <c r="D236" s="165"/>
      <c r="E236" s="166"/>
      <c r="F236" s="164" t="str">
        <f t="shared" si="10"/>
        <v/>
      </c>
      <c r="G236" s="165"/>
      <c r="H236" s="166"/>
      <c r="I236" s="164" t="str">
        <f t="shared" si="11"/>
        <v/>
      </c>
    </row>
    <row r="237" spans="1:9" s="164" customFormat="1" ht="17.399999999999999">
      <c r="A237" s="162"/>
      <c r="B237" s="163"/>
      <c r="C237" s="164" t="str">
        <f t="shared" si="9"/>
        <v/>
      </c>
      <c r="D237" s="165"/>
      <c r="E237" s="166"/>
      <c r="F237" s="164" t="str">
        <f t="shared" si="10"/>
        <v/>
      </c>
      <c r="G237" s="165"/>
      <c r="H237" s="166"/>
      <c r="I237" s="164" t="str">
        <f t="shared" si="11"/>
        <v/>
      </c>
    </row>
    <row r="238" spans="1:9" s="164" customFormat="1" ht="17.399999999999999">
      <c r="A238" s="162"/>
      <c r="B238" s="163"/>
      <c r="C238" s="164" t="str">
        <f t="shared" si="9"/>
        <v/>
      </c>
      <c r="D238" s="165"/>
      <c r="E238" s="166"/>
      <c r="F238" s="164" t="str">
        <f t="shared" si="10"/>
        <v/>
      </c>
      <c r="G238" s="165"/>
      <c r="H238" s="166"/>
      <c r="I238" s="164" t="str">
        <f t="shared" si="11"/>
        <v/>
      </c>
    </row>
    <row r="239" spans="1:9" s="164" customFormat="1" ht="17.399999999999999">
      <c r="A239" s="162"/>
      <c r="B239" s="163"/>
      <c r="C239" s="164" t="str">
        <f t="shared" si="9"/>
        <v/>
      </c>
      <c r="D239" s="165"/>
      <c r="E239" s="166"/>
      <c r="F239" s="164" t="str">
        <f t="shared" si="10"/>
        <v/>
      </c>
      <c r="G239" s="165"/>
      <c r="H239" s="166"/>
      <c r="I239" s="164" t="str">
        <f t="shared" si="11"/>
        <v/>
      </c>
    </row>
    <row r="240" spans="1:9" s="164" customFormat="1" ht="17.399999999999999">
      <c r="A240" s="162"/>
      <c r="B240" s="163"/>
      <c r="C240" s="164" t="str">
        <f t="shared" si="9"/>
        <v/>
      </c>
      <c r="D240" s="165"/>
      <c r="E240" s="166"/>
      <c r="F240" s="164" t="str">
        <f t="shared" si="10"/>
        <v/>
      </c>
      <c r="G240" s="165"/>
      <c r="H240" s="166"/>
      <c r="I240" s="164" t="str">
        <f t="shared" si="11"/>
        <v/>
      </c>
    </row>
    <row r="241" spans="1:9" s="164" customFormat="1" ht="17.399999999999999">
      <c r="A241" s="162"/>
      <c r="B241" s="163"/>
      <c r="C241" s="164" t="str">
        <f t="shared" si="9"/>
        <v/>
      </c>
      <c r="D241" s="165"/>
      <c r="E241" s="166"/>
      <c r="F241" s="164" t="str">
        <f t="shared" si="10"/>
        <v/>
      </c>
      <c r="G241" s="165"/>
      <c r="H241" s="166"/>
      <c r="I241" s="164" t="str">
        <f t="shared" si="11"/>
        <v/>
      </c>
    </row>
    <row r="242" spans="1:9" s="164" customFormat="1" ht="17.399999999999999">
      <c r="A242" s="165"/>
      <c r="B242" s="166"/>
      <c r="C242" s="164" t="str">
        <f t="shared" si="9"/>
        <v/>
      </c>
      <c r="D242" s="165"/>
      <c r="E242" s="166"/>
      <c r="F242" s="164" t="str">
        <f t="shared" si="10"/>
        <v/>
      </c>
      <c r="G242" s="165"/>
      <c r="H242" s="166"/>
      <c r="I242" s="164" t="str">
        <f t="shared" si="11"/>
        <v/>
      </c>
    </row>
    <row r="243" spans="1:9" s="164" customFormat="1" ht="17.399999999999999">
      <c r="A243" s="165"/>
      <c r="B243" s="166"/>
      <c r="C243" s="164" t="str">
        <f t="shared" si="9"/>
        <v/>
      </c>
      <c r="D243" s="165"/>
      <c r="E243" s="166"/>
      <c r="F243" s="164" t="str">
        <f t="shared" si="10"/>
        <v/>
      </c>
      <c r="G243" s="165"/>
      <c r="H243" s="166"/>
      <c r="I243" s="164" t="str">
        <f t="shared" si="11"/>
        <v/>
      </c>
    </row>
    <row r="244" spans="1:9" s="164" customFormat="1" ht="17.399999999999999">
      <c r="A244" s="165"/>
      <c r="B244" s="166"/>
      <c r="C244" s="164" t="str">
        <f t="shared" si="9"/>
        <v/>
      </c>
      <c r="D244" s="165"/>
      <c r="E244" s="166"/>
      <c r="F244" s="164" t="str">
        <f t="shared" si="10"/>
        <v/>
      </c>
      <c r="G244" s="165"/>
      <c r="H244" s="166"/>
      <c r="I244" s="164" t="str">
        <f t="shared" si="11"/>
        <v/>
      </c>
    </row>
    <row r="245" spans="1:9" s="164" customFormat="1" ht="17.399999999999999">
      <c r="A245" s="165"/>
      <c r="B245" s="166"/>
      <c r="C245" s="164" t="str">
        <f t="shared" si="9"/>
        <v/>
      </c>
      <c r="D245" s="165"/>
      <c r="E245" s="166"/>
      <c r="F245" s="164" t="str">
        <f t="shared" si="10"/>
        <v/>
      </c>
      <c r="G245" s="165"/>
      <c r="H245" s="166"/>
      <c r="I245" s="164" t="str">
        <f t="shared" si="11"/>
        <v/>
      </c>
    </row>
    <row r="246" spans="1:9" s="164" customFormat="1" ht="17.399999999999999">
      <c r="A246" s="165"/>
      <c r="B246" s="166"/>
      <c r="C246" s="164" t="str">
        <f t="shared" si="9"/>
        <v/>
      </c>
      <c r="D246" s="165"/>
      <c r="E246" s="166"/>
      <c r="F246" s="164" t="str">
        <f t="shared" si="10"/>
        <v/>
      </c>
      <c r="G246" s="165"/>
      <c r="H246" s="166"/>
      <c r="I246" s="164" t="str">
        <f t="shared" si="11"/>
        <v/>
      </c>
    </row>
    <row r="247" spans="1:9" s="164" customFormat="1" ht="17.399999999999999">
      <c r="A247" s="165"/>
      <c r="B247" s="166"/>
      <c r="C247" s="164" t="str">
        <f t="shared" si="9"/>
        <v/>
      </c>
      <c r="D247" s="165"/>
      <c r="E247" s="166"/>
      <c r="F247" s="164" t="str">
        <f t="shared" si="10"/>
        <v/>
      </c>
      <c r="G247" s="165"/>
      <c r="H247" s="166"/>
      <c r="I247" s="164" t="str">
        <f t="shared" si="11"/>
        <v/>
      </c>
    </row>
    <row r="248" spans="1:9" s="164" customFormat="1" ht="17.399999999999999">
      <c r="A248" s="165"/>
      <c r="B248" s="166"/>
      <c r="C248" s="164" t="str">
        <f t="shared" si="9"/>
        <v/>
      </c>
      <c r="D248" s="165"/>
      <c r="E248" s="166"/>
      <c r="F248" s="164" t="str">
        <f t="shared" si="10"/>
        <v/>
      </c>
      <c r="G248" s="165"/>
      <c r="H248" s="166"/>
      <c r="I248" s="164" t="str">
        <f t="shared" si="11"/>
        <v/>
      </c>
    </row>
    <row r="249" spans="1:9" s="164" customFormat="1" ht="17.399999999999999">
      <c r="A249" s="165"/>
      <c r="B249" s="166"/>
      <c r="C249" s="164" t="str">
        <f t="shared" si="9"/>
        <v/>
      </c>
      <c r="D249" s="165"/>
      <c r="E249" s="166"/>
      <c r="F249" s="164" t="str">
        <f t="shared" si="10"/>
        <v/>
      </c>
      <c r="G249" s="165"/>
      <c r="H249" s="166"/>
      <c r="I249" s="164" t="str">
        <f t="shared" si="11"/>
        <v/>
      </c>
    </row>
    <row r="250" spans="1:9" s="164" customFormat="1" ht="17.399999999999999">
      <c r="A250" s="165"/>
      <c r="B250" s="166"/>
      <c r="C250" s="164" t="str">
        <f t="shared" si="9"/>
        <v/>
      </c>
      <c r="D250" s="165"/>
      <c r="E250" s="166"/>
      <c r="F250" s="164" t="str">
        <f t="shared" si="10"/>
        <v/>
      </c>
      <c r="G250" s="165"/>
      <c r="H250" s="166"/>
      <c r="I250" s="164" t="str">
        <f t="shared" si="11"/>
        <v/>
      </c>
    </row>
    <row r="251" spans="1:9" s="164" customFormat="1" ht="17.399999999999999">
      <c r="A251" s="165"/>
      <c r="B251" s="166"/>
      <c r="C251" s="164" t="str">
        <f t="shared" si="9"/>
        <v/>
      </c>
      <c r="D251" s="165"/>
      <c r="E251" s="166"/>
      <c r="F251" s="164" t="str">
        <f t="shared" si="10"/>
        <v/>
      </c>
      <c r="G251" s="165"/>
      <c r="H251" s="166"/>
      <c r="I251" s="164" t="str">
        <f t="shared" si="11"/>
        <v/>
      </c>
    </row>
    <row r="252" spans="1:9" s="164" customFormat="1" ht="17.399999999999999">
      <c r="A252" s="165"/>
      <c r="B252" s="166"/>
      <c r="C252" s="164" t="str">
        <f t="shared" si="9"/>
        <v/>
      </c>
      <c r="D252" s="165"/>
      <c r="E252" s="166"/>
      <c r="F252" s="164" t="str">
        <f t="shared" si="10"/>
        <v/>
      </c>
      <c r="G252" s="165"/>
      <c r="H252" s="166"/>
      <c r="I252" s="164" t="str">
        <f t="shared" si="11"/>
        <v/>
      </c>
    </row>
    <row r="253" spans="1:9" s="164" customFormat="1" ht="17.399999999999999">
      <c r="A253" s="165"/>
      <c r="B253" s="166"/>
      <c r="C253" s="164" t="str">
        <f t="shared" si="9"/>
        <v/>
      </c>
      <c r="D253" s="165"/>
      <c r="E253" s="166"/>
      <c r="F253" s="164" t="str">
        <f t="shared" si="10"/>
        <v/>
      </c>
      <c r="G253" s="165"/>
      <c r="H253" s="166"/>
      <c r="I253" s="164" t="str">
        <f t="shared" si="11"/>
        <v/>
      </c>
    </row>
    <row r="254" spans="1:9" s="164" customFormat="1" ht="17.399999999999999">
      <c r="A254" s="165"/>
      <c r="B254" s="166"/>
      <c r="C254" s="164" t="str">
        <f t="shared" si="9"/>
        <v/>
      </c>
      <c r="D254" s="165"/>
      <c r="E254" s="166"/>
      <c r="F254" s="164" t="str">
        <f t="shared" si="10"/>
        <v/>
      </c>
      <c r="G254" s="165"/>
      <c r="H254" s="166"/>
      <c r="I254" s="164" t="str">
        <f t="shared" si="11"/>
        <v/>
      </c>
    </row>
    <row r="255" spans="1:9" s="164" customFormat="1" ht="17.399999999999999">
      <c r="A255" s="165"/>
      <c r="B255" s="166"/>
      <c r="C255" s="164" t="str">
        <f t="shared" si="9"/>
        <v/>
      </c>
      <c r="D255" s="165"/>
      <c r="E255" s="166"/>
      <c r="F255" s="164" t="str">
        <f t="shared" si="10"/>
        <v/>
      </c>
      <c r="G255" s="165"/>
      <c r="H255" s="166"/>
      <c r="I255" s="164" t="str">
        <f t="shared" si="11"/>
        <v/>
      </c>
    </row>
    <row r="256" spans="1:9" s="164" customFormat="1" ht="17.399999999999999">
      <c r="A256" s="165"/>
      <c r="B256" s="166"/>
      <c r="C256" s="164" t="str">
        <f t="shared" si="9"/>
        <v/>
      </c>
      <c r="D256" s="165"/>
      <c r="E256" s="166"/>
      <c r="F256" s="164" t="str">
        <f t="shared" si="10"/>
        <v/>
      </c>
      <c r="G256" s="165"/>
      <c r="H256" s="166"/>
      <c r="I256" s="164" t="str">
        <f t="shared" si="11"/>
        <v/>
      </c>
    </row>
    <row r="257" spans="1:9" s="164" customFormat="1" ht="17.399999999999999">
      <c r="A257" s="165"/>
      <c r="B257" s="166"/>
      <c r="C257" s="164" t="str">
        <f t="shared" si="9"/>
        <v/>
      </c>
      <c r="D257" s="165"/>
      <c r="E257" s="166"/>
      <c r="F257" s="164" t="str">
        <f t="shared" si="10"/>
        <v/>
      </c>
      <c r="G257" s="165"/>
      <c r="H257" s="166"/>
      <c r="I257" s="164" t="str">
        <f t="shared" si="11"/>
        <v/>
      </c>
    </row>
    <row r="258" spans="1:9" s="164" customFormat="1" ht="17.399999999999999">
      <c r="A258" s="165"/>
      <c r="B258" s="166"/>
      <c r="C258" s="164" t="str">
        <f t="shared" si="9"/>
        <v/>
      </c>
      <c r="D258" s="165"/>
      <c r="E258" s="166"/>
      <c r="F258" s="164" t="str">
        <f t="shared" si="10"/>
        <v/>
      </c>
      <c r="G258" s="165"/>
      <c r="H258" s="166"/>
      <c r="I258" s="164" t="str">
        <f t="shared" si="11"/>
        <v/>
      </c>
    </row>
    <row r="259" spans="1:9" s="164" customFormat="1" ht="17.399999999999999">
      <c r="A259" s="165"/>
      <c r="B259" s="166"/>
      <c r="C259" s="164" t="str">
        <f t="shared" si="9"/>
        <v/>
      </c>
      <c r="D259" s="165"/>
      <c r="E259" s="166"/>
      <c r="F259" s="164" t="str">
        <f t="shared" si="10"/>
        <v/>
      </c>
      <c r="G259" s="165"/>
      <c r="H259" s="166"/>
      <c r="I259" s="164" t="str">
        <f t="shared" si="11"/>
        <v/>
      </c>
    </row>
    <row r="260" spans="1:9" s="164" customFormat="1" ht="17.399999999999999">
      <c r="A260" s="165"/>
      <c r="B260" s="166"/>
      <c r="C260" s="164" t="str">
        <f t="shared" si="9"/>
        <v/>
      </c>
      <c r="D260" s="165"/>
      <c r="E260" s="166"/>
      <c r="F260" s="164" t="str">
        <f t="shared" si="10"/>
        <v/>
      </c>
      <c r="G260" s="165"/>
      <c r="H260" s="166"/>
      <c r="I260" s="164" t="str">
        <f t="shared" si="11"/>
        <v/>
      </c>
    </row>
    <row r="261" spans="1:9" s="164" customFormat="1" ht="17.399999999999999">
      <c r="A261" s="165"/>
      <c r="B261" s="166"/>
      <c r="C261" s="164" t="str">
        <f t="shared" ref="C261:C304" si="12">IF(B261&gt;0,TEXT(B261,"(aaa)"),"")</f>
        <v/>
      </c>
      <c r="D261" s="165"/>
      <c r="E261" s="166"/>
      <c r="F261" s="164" t="str">
        <f t="shared" ref="F261:F304" si="13">IF(E261&gt;0,TEXT(E261,"(aaa)"),"")</f>
        <v/>
      </c>
      <c r="G261" s="165"/>
      <c r="H261" s="166"/>
      <c r="I261" s="164" t="str">
        <f t="shared" ref="I261:I304" si="14">IF(H261&gt;0,TEXT(H261,"(aaa)"),"")</f>
        <v/>
      </c>
    </row>
    <row r="262" spans="1:9" s="164" customFormat="1" ht="17.399999999999999">
      <c r="A262" s="165"/>
      <c r="B262" s="166"/>
      <c r="C262" s="164" t="str">
        <f t="shared" si="12"/>
        <v/>
      </c>
      <c r="D262" s="165"/>
      <c r="E262" s="166"/>
      <c r="F262" s="164" t="str">
        <f t="shared" si="13"/>
        <v/>
      </c>
      <c r="G262" s="165"/>
      <c r="H262" s="166"/>
      <c r="I262" s="164" t="str">
        <f t="shared" si="14"/>
        <v/>
      </c>
    </row>
    <row r="263" spans="1:9" s="164" customFormat="1" ht="17.399999999999999">
      <c r="A263" s="165"/>
      <c r="B263" s="166"/>
      <c r="C263" s="164" t="str">
        <f t="shared" si="12"/>
        <v/>
      </c>
      <c r="D263" s="165"/>
      <c r="E263" s="166"/>
      <c r="F263" s="164" t="str">
        <f t="shared" si="13"/>
        <v/>
      </c>
      <c r="G263" s="165"/>
      <c r="H263" s="166"/>
      <c r="I263" s="164" t="str">
        <f t="shared" si="14"/>
        <v/>
      </c>
    </row>
    <row r="264" spans="1:9" s="164" customFormat="1" ht="17.399999999999999">
      <c r="A264" s="165"/>
      <c r="B264" s="166"/>
      <c r="C264" s="164" t="str">
        <f t="shared" si="12"/>
        <v/>
      </c>
      <c r="D264" s="165"/>
      <c r="E264" s="166"/>
      <c r="F264" s="164" t="str">
        <f t="shared" si="13"/>
        <v/>
      </c>
      <c r="G264" s="165"/>
      <c r="H264" s="166"/>
      <c r="I264" s="164" t="str">
        <f t="shared" si="14"/>
        <v/>
      </c>
    </row>
    <row r="265" spans="1:9" s="164" customFormat="1" ht="17.399999999999999">
      <c r="A265" s="165"/>
      <c r="B265" s="166"/>
      <c r="C265" s="164" t="str">
        <f t="shared" si="12"/>
        <v/>
      </c>
      <c r="D265" s="165"/>
      <c r="E265" s="166"/>
      <c r="F265" s="164" t="str">
        <f t="shared" si="13"/>
        <v/>
      </c>
      <c r="G265" s="165"/>
      <c r="H265" s="166"/>
      <c r="I265" s="164" t="str">
        <f t="shared" si="14"/>
        <v/>
      </c>
    </row>
    <row r="266" spans="1:9" s="164" customFormat="1" ht="17.399999999999999">
      <c r="A266" s="165"/>
      <c r="B266" s="166"/>
      <c r="C266" s="164" t="str">
        <f t="shared" si="12"/>
        <v/>
      </c>
      <c r="D266" s="165"/>
      <c r="E266" s="166"/>
      <c r="F266" s="164" t="str">
        <f t="shared" si="13"/>
        <v/>
      </c>
      <c r="G266" s="165"/>
      <c r="H266" s="166"/>
      <c r="I266" s="164" t="str">
        <f t="shared" si="14"/>
        <v/>
      </c>
    </row>
    <row r="267" spans="1:9" s="164" customFormat="1" ht="17.399999999999999">
      <c r="A267" s="165"/>
      <c r="B267" s="166"/>
      <c r="C267" s="164" t="str">
        <f t="shared" si="12"/>
        <v/>
      </c>
      <c r="D267" s="165"/>
      <c r="E267" s="166"/>
      <c r="F267" s="164" t="str">
        <f t="shared" si="13"/>
        <v/>
      </c>
      <c r="G267" s="165"/>
      <c r="H267" s="166"/>
      <c r="I267" s="164" t="str">
        <f t="shared" si="14"/>
        <v/>
      </c>
    </row>
    <row r="268" spans="1:9" s="164" customFormat="1" ht="17.399999999999999">
      <c r="A268" s="165"/>
      <c r="B268" s="166"/>
      <c r="C268" s="164" t="str">
        <f t="shared" si="12"/>
        <v/>
      </c>
      <c r="D268" s="165"/>
      <c r="E268" s="166"/>
      <c r="F268" s="164" t="str">
        <f t="shared" si="13"/>
        <v/>
      </c>
      <c r="G268" s="165"/>
      <c r="H268" s="166"/>
      <c r="I268" s="164" t="str">
        <f t="shared" si="14"/>
        <v/>
      </c>
    </row>
    <row r="269" spans="1:9" s="164" customFormat="1" ht="17.399999999999999">
      <c r="A269" s="165"/>
      <c r="B269" s="166"/>
      <c r="C269" s="164" t="str">
        <f t="shared" si="12"/>
        <v/>
      </c>
      <c r="D269" s="165"/>
      <c r="E269" s="166"/>
      <c r="F269" s="164" t="str">
        <f t="shared" si="13"/>
        <v/>
      </c>
      <c r="G269" s="165"/>
      <c r="H269" s="166"/>
      <c r="I269" s="164" t="str">
        <f t="shared" si="14"/>
        <v/>
      </c>
    </row>
    <row r="270" spans="1:9" s="164" customFormat="1" ht="17.399999999999999">
      <c r="A270" s="165"/>
      <c r="B270" s="166"/>
      <c r="C270" s="164" t="str">
        <f t="shared" si="12"/>
        <v/>
      </c>
      <c r="D270" s="165"/>
      <c r="E270" s="166"/>
      <c r="F270" s="164" t="str">
        <f t="shared" si="13"/>
        <v/>
      </c>
      <c r="G270" s="165"/>
      <c r="H270" s="166"/>
      <c r="I270" s="164" t="str">
        <f t="shared" si="14"/>
        <v/>
      </c>
    </row>
    <row r="271" spans="1:9" s="164" customFormat="1" ht="17.399999999999999">
      <c r="A271" s="165"/>
      <c r="B271" s="166"/>
      <c r="C271" s="164" t="str">
        <f t="shared" si="12"/>
        <v/>
      </c>
      <c r="D271" s="165"/>
      <c r="E271" s="166"/>
      <c r="F271" s="164" t="str">
        <f t="shared" si="13"/>
        <v/>
      </c>
      <c r="G271" s="165"/>
      <c r="H271" s="166"/>
      <c r="I271" s="164" t="str">
        <f t="shared" si="14"/>
        <v/>
      </c>
    </row>
    <row r="272" spans="1:9" s="164" customFormat="1" ht="17.399999999999999">
      <c r="A272" s="165"/>
      <c r="B272" s="166"/>
      <c r="C272" s="164" t="str">
        <f t="shared" si="12"/>
        <v/>
      </c>
      <c r="D272" s="165"/>
      <c r="E272" s="166"/>
      <c r="F272" s="164" t="str">
        <f t="shared" si="13"/>
        <v/>
      </c>
      <c r="G272" s="165"/>
      <c r="H272" s="166"/>
      <c r="I272" s="164" t="str">
        <f t="shared" si="14"/>
        <v/>
      </c>
    </row>
    <row r="273" spans="1:9" s="164" customFormat="1" ht="17.399999999999999">
      <c r="A273" s="165"/>
      <c r="B273" s="166"/>
      <c r="C273" s="164" t="str">
        <f t="shared" si="12"/>
        <v/>
      </c>
      <c r="D273" s="165"/>
      <c r="E273" s="166"/>
      <c r="F273" s="164" t="str">
        <f t="shared" si="13"/>
        <v/>
      </c>
      <c r="G273" s="165"/>
      <c r="H273" s="166"/>
      <c r="I273" s="164" t="str">
        <f t="shared" si="14"/>
        <v/>
      </c>
    </row>
    <row r="274" spans="1:9" s="164" customFormat="1" ht="17.399999999999999">
      <c r="A274" s="165"/>
      <c r="B274" s="166"/>
      <c r="C274" s="164" t="str">
        <f t="shared" si="12"/>
        <v/>
      </c>
      <c r="D274" s="165"/>
      <c r="E274" s="166"/>
      <c r="F274" s="164" t="str">
        <f t="shared" si="13"/>
        <v/>
      </c>
      <c r="G274" s="165"/>
      <c r="H274" s="166"/>
      <c r="I274" s="164" t="str">
        <f t="shared" si="14"/>
        <v/>
      </c>
    </row>
    <row r="275" spans="1:9" s="164" customFormat="1" ht="17.399999999999999">
      <c r="A275" s="165"/>
      <c r="B275" s="166"/>
      <c r="C275" s="164" t="str">
        <f t="shared" si="12"/>
        <v/>
      </c>
      <c r="D275" s="165"/>
      <c r="E275" s="166"/>
      <c r="F275" s="164" t="str">
        <f t="shared" si="13"/>
        <v/>
      </c>
      <c r="G275" s="165"/>
      <c r="H275" s="166"/>
      <c r="I275" s="164" t="str">
        <f t="shared" si="14"/>
        <v/>
      </c>
    </row>
    <row r="276" spans="1:9" s="164" customFormat="1" ht="17.399999999999999">
      <c r="A276" s="165"/>
      <c r="B276" s="166"/>
      <c r="C276" s="164" t="str">
        <f t="shared" si="12"/>
        <v/>
      </c>
      <c r="D276" s="165"/>
      <c r="E276" s="166"/>
      <c r="F276" s="164" t="str">
        <f t="shared" si="13"/>
        <v/>
      </c>
      <c r="G276" s="165"/>
      <c r="H276" s="166"/>
      <c r="I276" s="164" t="str">
        <f t="shared" si="14"/>
        <v/>
      </c>
    </row>
    <row r="277" spans="1:9" s="164" customFormat="1" ht="17.399999999999999">
      <c r="A277" s="165"/>
      <c r="B277" s="166"/>
      <c r="C277" s="164" t="str">
        <f t="shared" si="12"/>
        <v/>
      </c>
      <c r="D277" s="165"/>
      <c r="E277" s="166"/>
      <c r="F277" s="164" t="str">
        <f t="shared" si="13"/>
        <v/>
      </c>
      <c r="G277" s="165"/>
      <c r="H277" s="166"/>
      <c r="I277" s="164" t="str">
        <f t="shared" si="14"/>
        <v/>
      </c>
    </row>
    <row r="278" spans="1:9" s="164" customFormat="1" ht="17.399999999999999">
      <c r="A278" s="165"/>
      <c r="B278" s="166"/>
      <c r="C278" s="164" t="str">
        <f t="shared" si="12"/>
        <v/>
      </c>
      <c r="D278" s="165"/>
      <c r="E278" s="166"/>
      <c r="F278" s="164" t="str">
        <f t="shared" si="13"/>
        <v/>
      </c>
      <c r="G278" s="165"/>
      <c r="H278" s="166"/>
      <c r="I278" s="164" t="str">
        <f t="shared" si="14"/>
        <v/>
      </c>
    </row>
    <row r="279" spans="1:9" s="164" customFormat="1" ht="17.399999999999999">
      <c r="A279" s="165"/>
      <c r="B279" s="166"/>
      <c r="C279" s="164" t="str">
        <f t="shared" si="12"/>
        <v/>
      </c>
      <c r="D279" s="165"/>
      <c r="E279" s="166"/>
      <c r="F279" s="164" t="str">
        <f t="shared" si="13"/>
        <v/>
      </c>
      <c r="G279" s="165"/>
      <c r="H279" s="166"/>
      <c r="I279" s="164" t="str">
        <f t="shared" si="14"/>
        <v/>
      </c>
    </row>
    <row r="280" spans="1:9" s="164" customFormat="1" ht="17.399999999999999">
      <c r="A280" s="165"/>
      <c r="B280" s="166"/>
      <c r="C280" s="164" t="str">
        <f t="shared" si="12"/>
        <v/>
      </c>
      <c r="D280" s="165"/>
      <c r="E280" s="166"/>
      <c r="F280" s="164" t="str">
        <f t="shared" si="13"/>
        <v/>
      </c>
      <c r="G280" s="165"/>
      <c r="H280" s="166"/>
      <c r="I280" s="164" t="str">
        <f t="shared" si="14"/>
        <v/>
      </c>
    </row>
    <row r="281" spans="1:9" s="164" customFormat="1" ht="17.399999999999999">
      <c r="A281" s="165"/>
      <c r="B281" s="166"/>
      <c r="C281" s="164" t="str">
        <f t="shared" si="12"/>
        <v/>
      </c>
      <c r="D281" s="165"/>
      <c r="E281" s="166"/>
      <c r="F281" s="164" t="str">
        <f t="shared" si="13"/>
        <v/>
      </c>
      <c r="G281" s="165"/>
      <c r="H281" s="166"/>
      <c r="I281" s="164" t="str">
        <f t="shared" si="14"/>
        <v/>
      </c>
    </row>
    <row r="282" spans="1:9" s="164" customFormat="1" ht="17.399999999999999">
      <c r="A282" s="165"/>
      <c r="B282" s="166"/>
      <c r="C282" s="164" t="str">
        <f t="shared" si="12"/>
        <v/>
      </c>
      <c r="D282" s="165"/>
      <c r="E282" s="166"/>
      <c r="F282" s="164" t="str">
        <f t="shared" si="13"/>
        <v/>
      </c>
      <c r="G282" s="165"/>
      <c r="H282" s="166"/>
      <c r="I282" s="164" t="str">
        <f t="shared" si="14"/>
        <v/>
      </c>
    </row>
    <row r="283" spans="1:9" s="164" customFormat="1" ht="17.399999999999999">
      <c r="A283" s="165"/>
      <c r="B283" s="166"/>
      <c r="C283" s="164" t="str">
        <f t="shared" si="12"/>
        <v/>
      </c>
      <c r="D283" s="165"/>
      <c r="E283" s="166"/>
      <c r="F283" s="164" t="str">
        <f t="shared" si="13"/>
        <v/>
      </c>
      <c r="G283" s="165"/>
      <c r="H283" s="166"/>
      <c r="I283" s="164" t="str">
        <f t="shared" si="14"/>
        <v/>
      </c>
    </row>
    <row r="284" spans="1:9" s="164" customFormat="1" ht="17.399999999999999">
      <c r="A284" s="165"/>
      <c r="B284" s="166"/>
      <c r="C284" s="164" t="str">
        <f t="shared" si="12"/>
        <v/>
      </c>
      <c r="D284" s="165"/>
      <c r="E284" s="166"/>
      <c r="F284" s="164" t="str">
        <f t="shared" si="13"/>
        <v/>
      </c>
      <c r="G284" s="165"/>
      <c r="H284" s="166"/>
      <c r="I284" s="164" t="str">
        <f t="shared" si="14"/>
        <v/>
      </c>
    </row>
    <row r="285" spans="1:9" s="164" customFormat="1" ht="17.399999999999999">
      <c r="A285" s="165"/>
      <c r="B285" s="166"/>
      <c r="C285" s="164" t="str">
        <f t="shared" si="12"/>
        <v/>
      </c>
      <c r="D285" s="165"/>
      <c r="E285" s="166"/>
      <c r="F285" s="164" t="str">
        <f t="shared" si="13"/>
        <v/>
      </c>
      <c r="G285" s="165"/>
      <c r="H285" s="166"/>
      <c r="I285" s="164" t="str">
        <f t="shared" si="14"/>
        <v/>
      </c>
    </row>
    <row r="286" spans="1:9" s="164" customFormat="1" ht="17.399999999999999">
      <c r="A286" s="165"/>
      <c r="B286" s="166"/>
      <c r="C286" s="164" t="str">
        <f t="shared" si="12"/>
        <v/>
      </c>
      <c r="D286" s="165"/>
      <c r="E286" s="166"/>
      <c r="F286" s="164" t="str">
        <f t="shared" si="13"/>
        <v/>
      </c>
      <c r="G286" s="165"/>
      <c r="H286" s="166"/>
      <c r="I286" s="164" t="str">
        <f t="shared" si="14"/>
        <v/>
      </c>
    </row>
    <row r="287" spans="1:9" s="164" customFormat="1" ht="17.399999999999999">
      <c r="A287" s="165"/>
      <c r="B287" s="166"/>
      <c r="C287" s="164" t="str">
        <f t="shared" si="12"/>
        <v/>
      </c>
      <c r="D287" s="165"/>
      <c r="E287" s="166"/>
      <c r="F287" s="164" t="str">
        <f t="shared" si="13"/>
        <v/>
      </c>
      <c r="G287" s="165"/>
      <c r="H287" s="166"/>
      <c r="I287" s="164" t="str">
        <f t="shared" si="14"/>
        <v/>
      </c>
    </row>
    <row r="288" spans="1:9" s="164" customFormat="1" ht="17.399999999999999">
      <c r="A288" s="165"/>
      <c r="B288" s="166"/>
      <c r="C288" s="164" t="str">
        <f t="shared" si="12"/>
        <v/>
      </c>
      <c r="D288" s="165"/>
      <c r="E288" s="166"/>
      <c r="F288" s="164" t="str">
        <f t="shared" si="13"/>
        <v/>
      </c>
      <c r="G288" s="165"/>
      <c r="H288" s="166"/>
      <c r="I288" s="164" t="str">
        <f t="shared" si="14"/>
        <v/>
      </c>
    </row>
    <row r="289" spans="1:9" s="164" customFormat="1" ht="17.399999999999999">
      <c r="A289" s="165"/>
      <c r="B289" s="166"/>
      <c r="C289" s="164" t="str">
        <f t="shared" si="12"/>
        <v/>
      </c>
      <c r="D289" s="165"/>
      <c r="E289" s="166"/>
      <c r="F289" s="164" t="str">
        <f t="shared" si="13"/>
        <v/>
      </c>
      <c r="G289" s="165"/>
      <c r="H289" s="166"/>
      <c r="I289" s="164" t="str">
        <f t="shared" si="14"/>
        <v/>
      </c>
    </row>
    <row r="290" spans="1:9" s="164" customFormat="1" ht="17.399999999999999">
      <c r="A290" s="165"/>
      <c r="B290" s="166"/>
      <c r="C290" s="164" t="str">
        <f t="shared" si="12"/>
        <v/>
      </c>
      <c r="D290" s="165"/>
      <c r="E290" s="166"/>
      <c r="F290" s="164" t="str">
        <f t="shared" si="13"/>
        <v/>
      </c>
      <c r="G290" s="165"/>
      <c r="H290" s="166"/>
      <c r="I290" s="164" t="str">
        <f t="shared" si="14"/>
        <v/>
      </c>
    </row>
    <row r="291" spans="1:9" s="164" customFormat="1" ht="17.399999999999999">
      <c r="A291" s="165"/>
      <c r="B291" s="166"/>
      <c r="C291" s="164" t="str">
        <f t="shared" si="12"/>
        <v/>
      </c>
      <c r="D291" s="165"/>
      <c r="E291" s="166"/>
      <c r="F291" s="164" t="str">
        <f t="shared" si="13"/>
        <v/>
      </c>
      <c r="G291" s="165"/>
      <c r="H291" s="166"/>
      <c r="I291" s="164" t="str">
        <f t="shared" si="14"/>
        <v/>
      </c>
    </row>
    <row r="292" spans="1:9" s="164" customFormat="1" ht="17.399999999999999">
      <c r="A292" s="165"/>
      <c r="B292" s="166"/>
      <c r="C292" s="164" t="str">
        <f t="shared" si="12"/>
        <v/>
      </c>
      <c r="D292" s="165"/>
      <c r="E292" s="166"/>
      <c r="F292" s="164" t="str">
        <f t="shared" si="13"/>
        <v/>
      </c>
      <c r="G292" s="165"/>
      <c r="H292" s="166"/>
      <c r="I292" s="164" t="str">
        <f t="shared" si="14"/>
        <v/>
      </c>
    </row>
    <row r="293" spans="1:9" s="164" customFormat="1" ht="17.399999999999999">
      <c r="A293" s="165"/>
      <c r="B293" s="166"/>
      <c r="C293" s="164" t="str">
        <f t="shared" si="12"/>
        <v/>
      </c>
      <c r="D293" s="165"/>
      <c r="E293" s="166"/>
      <c r="F293" s="164" t="str">
        <f t="shared" si="13"/>
        <v/>
      </c>
      <c r="G293" s="165"/>
      <c r="H293" s="166"/>
      <c r="I293" s="164" t="str">
        <f t="shared" si="14"/>
        <v/>
      </c>
    </row>
    <row r="294" spans="1:9" s="164" customFormat="1" ht="17.399999999999999">
      <c r="A294" s="165"/>
      <c r="B294" s="166"/>
      <c r="C294" s="164" t="str">
        <f t="shared" si="12"/>
        <v/>
      </c>
      <c r="D294" s="165"/>
      <c r="E294" s="166"/>
      <c r="F294" s="164" t="str">
        <f t="shared" si="13"/>
        <v/>
      </c>
      <c r="G294" s="165"/>
      <c r="H294" s="166"/>
      <c r="I294" s="164" t="str">
        <f t="shared" si="14"/>
        <v/>
      </c>
    </row>
    <row r="295" spans="1:9" s="164" customFormat="1" ht="17.399999999999999">
      <c r="A295" s="165"/>
      <c r="B295" s="166"/>
      <c r="C295" s="164" t="str">
        <f t="shared" si="12"/>
        <v/>
      </c>
      <c r="D295" s="165"/>
      <c r="E295" s="166"/>
      <c r="F295" s="164" t="str">
        <f t="shared" si="13"/>
        <v/>
      </c>
      <c r="G295" s="165"/>
      <c r="H295" s="166"/>
      <c r="I295" s="164" t="str">
        <f t="shared" si="14"/>
        <v/>
      </c>
    </row>
    <row r="296" spans="1:9" s="164" customFormat="1" ht="17.399999999999999">
      <c r="A296" s="165"/>
      <c r="B296" s="166"/>
      <c r="C296" s="164" t="str">
        <f t="shared" si="12"/>
        <v/>
      </c>
      <c r="D296" s="165"/>
      <c r="E296" s="166"/>
      <c r="F296" s="164" t="str">
        <f t="shared" si="13"/>
        <v/>
      </c>
      <c r="G296" s="165"/>
      <c r="H296" s="166"/>
      <c r="I296" s="164" t="str">
        <f t="shared" si="14"/>
        <v/>
      </c>
    </row>
    <row r="297" spans="1:9" s="164" customFormat="1" ht="17.399999999999999">
      <c r="A297" s="165"/>
      <c r="B297" s="166"/>
      <c r="C297" s="164" t="str">
        <f t="shared" si="12"/>
        <v/>
      </c>
      <c r="D297" s="165"/>
      <c r="E297" s="166"/>
      <c r="F297" s="164" t="str">
        <f t="shared" si="13"/>
        <v/>
      </c>
      <c r="G297" s="165"/>
      <c r="H297" s="166"/>
      <c r="I297" s="164" t="str">
        <f t="shared" si="14"/>
        <v/>
      </c>
    </row>
    <row r="298" spans="1:9" s="164" customFormat="1" ht="17.399999999999999">
      <c r="A298" s="165"/>
      <c r="B298" s="166"/>
      <c r="C298" s="164" t="str">
        <f t="shared" si="12"/>
        <v/>
      </c>
      <c r="D298" s="165"/>
      <c r="E298" s="166"/>
      <c r="F298" s="164" t="str">
        <f t="shared" si="13"/>
        <v/>
      </c>
      <c r="G298" s="165"/>
      <c r="H298" s="166"/>
      <c r="I298" s="164" t="str">
        <f t="shared" si="14"/>
        <v/>
      </c>
    </row>
    <row r="299" spans="1:9" s="164" customFormat="1" ht="17.399999999999999">
      <c r="A299" s="165"/>
      <c r="B299" s="166"/>
      <c r="C299" s="164" t="str">
        <f t="shared" si="12"/>
        <v/>
      </c>
      <c r="D299" s="165"/>
      <c r="E299" s="166"/>
      <c r="F299" s="164" t="str">
        <f t="shared" si="13"/>
        <v/>
      </c>
      <c r="G299" s="165"/>
      <c r="H299" s="166"/>
      <c r="I299" s="164" t="str">
        <f t="shared" si="14"/>
        <v/>
      </c>
    </row>
    <row r="300" spans="1:9" s="164" customFormat="1" ht="17.399999999999999">
      <c r="A300" s="165"/>
      <c r="B300" s="166"/>
      <c r="C300" s="164" t="str">
        <f t="shared" si="12"/>
        <v/>
      </c>
      <c r="D300" s="165"/>
      <c r="E300" s="166"/>
      <c r="F300" s="164" t="str">
        <f t="shared" si="13"/>
        <v/>
      </c>
      <c r="G300" s="165"/>
      <c r="H300" s="166"/>
      <c r="I300" s="164" t="str">
        <f t="shared" si="14"/>
        <v/>
      </c>
    </row>
    <row r="301" spans="1:9" s="164" customFormat="1" ht="17.399999999999999">
      <c r="A301" s="165"/>
      <c r="B301" s="166"/>
      <c r="C301" s="164" t="str">
        <f t="shared" si="12"/>
        <v/>
      </c>
      <c r="D301" s="165"/>
      <c r="E301" s="166"/>
      <c r="F301" s="164" t="str">
        <f t="shared" si="13"/>
        <v/>
      </c>
      <c r="G301" s="165"/>
      <c r="H301" s="166"/>
      <c r="I301" s="164" t="str">
        <f t="shared" si="14"/>
        <v/>
      </c>
    </row>
    <row r="302" spans="1:9" s="164" customFormat="1" ht="17.399999999999999">
      <c r="A302" s="165"/>
      <c r="B302" s="169"/>
      <c r="C302" s="164" t="str">
        <f t="shared" si="12"/>
        <v/>
      </c>
      <c r="D302" s="165"/>
      <c r="E302" s="169"/>
      <c r="F302" s="164" t="str">
        <f t="shared" si="13"/>
        <v/>
      </c>
      <c r="G302" s="165"/>
      <c r="H302" s="169"/>
      <c r="I302" s="164" t="str">
        <f t="shared" si="14"/>
        <v/>
      </c>
    </row>
    <row r="303" spans="1:9" s="164" customFormat="1" ht="17.399999999999999">
      <c r="A303" s="165"/>
      <c r="B303" s="169"/>
      <c r="C303" s="164" t="str">
        <f t="shared" si="12"/>
        <v/>
      </c>
      <c r="D303" s="165"/>
      <c r="E303" s="169"/>
      <c r="F303" s="164" t="str">
        <f t="shared" si="13"/>
        <v/>
      </c>
      <c r="G303" s="165"/>
      <c r="H303" s="169"/>
      <c r="I303" s="164" t="str">
        <f t="shared" si="14"/>
        <v/>
      </c>
    </row>
    <row r="304" spans="1:9" s="164" customFormat="1" ht="17.399999999999999">
      <c r="A304" s="165"/>
      <c r="B304" s="169"/>
      <c r="C304" s="164" t="str">
        <f t="shared" si="12"/>
        <v/>
      </c>
      <c r="D304" s="165"/>
      <c r="E304" s="169"/>
      <c r="F304" s="164" t="str">
        <f t="shared" si="13"/>
        <v/>
      </c>
      <c r="G304" s="165"/>
      <c r="H304" s="169"/>
      <c r="I304" s="164" t="str">
        <f t="shared" si="14"/>
        <v/>
      </c>
    </row>
    <row r="305" spans="1:7" s="164" customFormat="1" ht="17.399999999999999">
      <c r="A305" s="164" t="s">
        <v>1120</v>
      </c>
      <c r="D305" s="164" t="s">
        <v>1120</v>
      </c>
      <c r="G305" s="164" t="s">
        <v>1120</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491"/>
  <sheetViews>
    <sheetView topLeftCell="B1" zoomScaleNormal="100" workbookViewId="0">
      <pane ySplit="1" topLeftCell="A55" activePane="bottomLeft" state="frozen"/>
      <selection pane="bottomLeft" activeCell="D79" sqref="D79"/>
    </sheetView>
  </sheetViews>
  <sheetFormatPr defaultColWidth="73.3984375" defaultRowHeight="13.2"/>
  <cols>
    <col min="1" max="1" width="7.59765625" style="122" bestFit="1" customWidth="1"/>
    <col min="2" max="2" width="8.3984375" style="123" bestFit="1" customWidth="1"/>
    <col min="3" max="3" width="15.69921875" style="124" customWidth="1"/>
    <col min="4" max="4" width="60.59765625" style="125" customWidth="1"/>
    <col min="5" max="5" width="72.69921875" style="125" bestFit="1" customWidth="1"/>
    <col min="6" max="16384" width="73.3984375" style="122"/>
  </cols>
  <sheetData>
    <row r="1" spans="1:5" s="120" customFormat="1" ht="24.75" customHeight="1">
      <c r="A1" s="120" t="s">
        <v>506</v>
      </c>
      <c r="B1" s="120" t="s">
        <v>507</v>
      </c>
      <c r="C1" s="121" t="s">
        <v>508</v>
      </c>
      <c r="D1" s="121" t="s">
        <v>65</v>
      </c>
      <c r="E1" s="121" t="s">
        <v>66</v>
      </c>
    </row>
    <row r="2" spans="1:5" ht="79.2">
      <c r="A2" s="122" t="s">
        <v>571</v>
      </c>
      <c r="B2" s="123">
        <v>1</v>
      </c>
      <c r="C2" s="124" t="s">
        <v>1047</v>
      </c>
      <c r="D2" s="125" t="s">
        <v>509</v>
      </c>
      <c r="E2" s="125" t="s">
        <v>611</v>
      </c>
    </row>
    <row r="3" spans="1:5" ht="112.5" customHeight="1">
      <c r="A3" s="126">
        <v>500</v>
      </c>
      <c r="B3" s="123">
        <v>2</v>
      </c>
      <c r="C3" s="124" t="s">
        <v>1047</v>
      </c>
      <c r="D3" s="125" t="s">
        <v>502</v>
      </c>
      <c r="E3" s="125" t="s">
        <v>612</v>
      </c>
    </row>
    <row r="4" spans="1:5" ht="52.8">
      <c r="B4" s="123">
        <v>3</v>
      </c>
      <c r="C4" s="124" t="s">
        <v>1047</v>
      </c>
      <c r="D4" s="125" t="s">
        <v>510</v>
      </c>
      <c r="E4" s="125" t="s">
        <v>613</v>
      </c>
    </row>
    <row r="5" spans="1:5" ht="52.8">
      <c r="B5" s="123">
        <v>4</v>
      </c>
      <c r="C5" s="124" t="s">
        <v>1047</v>
      </c>
      <c r="D5" s="125" t="s">
        <v>511</v>
      </c>
      <c r="E5" s="125" t="s">
        <v>614</v>
      </c>
    </row>
    <row r="6" spans="1:5" ht="52.8">
      <c r="B6" s="123">
        <v>5</v>
      </c>
      <c r="C6" s="124" t="s">
        <v>1047</v>
      </c>
      <c r="D6" s="125" t="s">
        <v>512</v>
      </c>
      <c r="E6" s="125" t="s">
        <v>615</v>
      </c>
    </row>
    <row r="7" spans="1:5" ht="39.6">
      <c r="B7" s="123">
        <v>6</v>
      </c>
      <c r="C7" s="124" t="s">
        <v>1047</v>
      </c>
      <c r="D7" s="125" t="s">
        <v>513</v>
      </c>
      <c r="E7" s="125" t="s">
        <v>616</v>
      </c>
    </row>
    <row r="8" spans="1:5">
      <c r="B8" s="123">
        <v>7</v>
      </c>
      <c r="C8" s="124" t="s">
        <v>1047</v>
      </c>
      <c r="D8" s="125" t="s">
        <v>504</v>
      </c>
      <c r="E8" s="125" t="s">
        <v>617</v>
      </c>
    </row>
    <row r="9" spans="1:5">
      <c r="B9" s="123">
        <v>101</v>
      </c>
      <c r="D9" s="125" t="s">
        <v>67</v>
      </c>
      <c r="E9" s="125" t="s">
        <v>618</v>
      </c>
    </row>
    <row r="10" spans="1:5">
      <c r="B10" s="123">
        <v>102</v>
      </c>
      <c r="D10" s="125" t="s">
        <v>68</v>
      </c>
      <c r="E10" s="125" t="s">
        <v>619</v>
      </c>
    </row>
    <row r="11" spans="1:5">
      <c r="B11" s="123">
        <v>103</v>
      </c>
      <c r="D11" s="125" t="s">
        <v>69</v>
      </c>
      <c r="E11" s="125" t="s">
        <v>620</v>
      </c>
    </row>
    <row r="12" spans="1:5">
      <c r="B12" s="123">
        <v>104</v>
      </c>
      <c r="D12" s="125" t="s">
        <v>70</v>
      </c>
      <c r="E12" s="125" t="s">
        <v>621</v>
      </c>
    </row>
    <row r="13" spans="1:5">
      <c r="B13" s="123">
        <v>105</v>
      </c>
      <c r="D13" s="125" t="s">
        <v>71</v>
      </c>
      <c r="E13" s="125" t="s">
        <v>622</v>
      </c>
    </row>
    <row r="14" spans="1:5">
      <c r="B14" s="123">
        <v>106</v>
      </c>
      <c r="D14" s="125" t="s">
        <v>423</v>
      </c>
      <c r="E14" s="125" t="s">
        <v>623</v>
      </c>
    </row>
    <row r="15" spans="1:5" ht="26.4">
      <c r="B15" s="123">
        <v>107</v>
      </c>
      <c r="D15" s="125" t="s">
        <v>424</v>
      </c>
      <c r="E15" s="125" t="s">
        <v>624</v>
      </c>
    </row>
    <row r="16" spans="1:5" ht="39.6">
      <c r="B16" s="123">
        <v>108</v>
      </c>
      <c r="D16" s="125" t="s">
        <v>425</v>
      </c>
      <c r="E16" s="125" t="s">
        <v>625</v>
      </c>
    </row>
    <row r="17" spans="1:6">
      <c r="B17" s="123">
        <v>109</v>
      </c>
      <c r="D17" s="125" t="s">
        <v>72</v>
      </c>
      <c r="E17" s="125" t="s">
        <v>626</v>
      </c>
    </row>
    <row r="18" spans="1:6">
      <c r="B18" s="123">
        <v>110</v>
      </c>
      <c r="D18" s="125" t="s">
        <v>73</v>
      </c>
      <c r="E18" s="125" t="s">
        <v>627</v>
      </c>
    </row>
    <row r="19" spans="1:6">
      <c r="B19" s="123">
        <v>111</v>
      </c>
      <c r="D19" s="125" t="s">
        <v>74</v>
      </c>
      <c r="E19" s="125" t="s">
        <v>628</v>
      </c>
    </row>
    <row r="20" spans="1:6">
      <c r="A20" s="127"/>
      <c r="B20" s="123">
        <v>112</v>
      </c>
      <c r="C20" s="128" t="s">
        <v>514</v>
      </c>
      <c r="D20" s="126" t="s">
        <v>515</v>
      </c>
      <c r="E20" s="126" t="s">
        <v>602</v>
      </c>
      <c r="F20" s="129"/>
    </row>
    <row r="21" spans="1:6">
      <c r="B21" s="123">
        <v>113</v>
      </c>
      <c r="D21" s="125" t="s">
        <v>75</v>
      </c>
      <c r="E21" s="125" t="s">
        <v>602</v>
      </c>
    </row>
    <row r="22" spans="1:6">
      <c r="B22" s="123">
        <v>114</v>
      </c>
      <c r="D22" s="125" t="s">
        <v>76</v>
      </c>
      <c r="E22" s="125" t="s">
        <v>629</v>
      </c>
    </row>
    <row r="23" spans="1:6">
      <c r="B23" s="123">
        <v>115</v>
      </c>
      <c r="D23" s="125" t="s">
        <v>77</v>
      </c>
      <c r="E23" s="125" t="s">
        <v>630</v>
      </c>
    </row>
    <row r="24" spans="1:6" ht="26.4">
      <c r="B24" s="123">
        <v>116</v>
      </c>
      <c r="D24" s="125" t="s">
        <v>426</v>
      </c>
      <c r="E24" s="125" t="s">
        <v>631</v>
      </c>
    </row>
    <row r="25" spans="1:6">
      <c r="B25" s="123">
        <v>117</v>
      </c>
      <c r="D25" s="125" t="s">
        <v>1059</v>
      </c>
      <c r="E25" s="125" t="s">
        <v>1060</v>
      </c>
    </row>
    <row r="26" spans="1:6">
      <c r="B26" s="123">
        <v>118</v>
      </c>
      <c r="D26" s="125" t="s">
        <v>1086</v>
      </c>
      <c r="E26" s="125" t="s">
        <v>1087</v>
      </c>
    </row>
    <row r="27" spans="1:6" ht="26.4">
      <c r="B27" s="123">
        <v>119</v>
      </c>
      <c r="D27" s="125" t="s">
        <v>78</v>
      </c>
      <c r="E27" s="125" t="s">
        <v>632</v>
      </c>
    </row>
    <row r="28" spans="1:6">
      <c r="B28" s="123">
        <v>120</v>
      </c>
      <c r="D28" s="125" t="s">
        <v>79</v>
      </c>
      <c r="E28" s="125" t="s">
        <v>633</v>
      </c>
    </row>
    <row r="29" spans="1:6">
      <c r="B29" s="123">
        <v>121</v>
      </c>
      <c r="D29" s="125" t="s">
        <v>421</v>
      </c>
      <c r="E29" s="125" t="s">
        <v>575</v>
      </c>
    </row>
    <row r="30" spans="1:6">
      <c r="B30" s="123">
        <v>122</v>
      </c>
      <c r="D30" s="125" t="s">
        <v>80</v>
      </c>
      <c r="E30" s="125" t="s">
        <v>634</v>
      </c>
    </row>
    <row r="31" spans="1:6">
      <c r="B31" s="123">
        <v>123</v>
      </c>
      <c r="D31" s="125" t="s">
        <v>1089</v>
      </c>
      <c r="E31" s="125" t="s">
        <v>1088</v>
      </c>
    </row>
    <row r="32" spans="1:6">
      <c r="B32" s="123">
        <v>124</v>
      </c>
      <c r="D32" s="125" t="s">
        <v>1090</v>
      </c>
      <c r="E32" s="125" t="s">
        <v>1091</v>
      </c>
    </row>
    <row r="33" spans="2:5">
      <c r="B33" s="123">
        <v>125</v>
      </c>
      <c r="D33" s="125" t="s">
        <v>81</v>
      </c>
      <c r="E33" s="125" t="s">
        <v>635</v>
      </c>
    </row>
    <row r="34" spans="2:5">
      <c r="B34" s="123">
        <v>126</v>
      </c>
      <c r="D34" s="125" t="s">
        <v>82</v>
      </c>
      <c r="E34" s="125" t="s">
        <v>636</v>
      </c>
    </row>
    <row r="35" spans="2:5" ht="26.4">
      <c r="B35" s="123">
        <v>127</v>
      </c>
      <c r="D35" s="125" t="s">
        <v>422</v>
      </c>
      <c r="E35" s="125" t="s">
        <v>576</v>
      </c>
    </row>
    <row r="36" spans="2:5">
      <c r="B36" s="123">
        <v>128</v>
      </c>
      <c r="D36" s="125" t="s">
        <v>83</v>
      </c>
      <c r="E36" s="125" t="s">
        <v>574</v>
      </c>
    </row>
    <row r="37" spans="2:5">
      <c r="B37" s="123">
        <v>129</v>
      </c>
      <c r="D37" s="125" t="s">
        <v>84</v>
      </c>
      <c r="E37" s="125" t="s">
        <v>637</v>
      </c>
    </row>
    <row r="38" spans="2:5">
      <c r="B38" s="123">
        <v>130</v>
      </c>
      <c r="D38" s="125" t="s">
        <v>427</v>
      </c>
      <c r="E38" s="125" t="s">
        <v>638</v>
      </c>
    </row>
    <row r="39" spans="2:5">
      <c r="B39" s="123">
        <v>131</v>
      </c>
      <c r="D39" s="125" t="s">
        <v>85</v>
      </c>
      <c r="E39" s="125" t="s">
        <v>639</v>
      </c>
    </row>
    <row r="40" spans="2:5">
      <c r="B40" s="123">
        <v>132</v>
      </c>
      <c r="D40" s="125" t="s">
        <v>86</v>
      </c>
      <c r="E40" s="125" t="s">
        <v>640</v>
      </c>
    </row>
    <row r="41" spans="2:5">
      <c r="B41" s="123">
        <v>133</v>
      </c>
      <c r="D41" s="125" t="s">
        <v>87</v>
      </c>
      <c r="E41" s="125" t="s">
        <v>641</v>
      </c>
    </row>
    <row r="42" spans="2:5">
      <c r="B42" s="123">
        <v>134</v>
      </c>
      <c r="D42" s="130" t="s">
        <v>428</v>
      </c>
      <c r="E42" s="131">
        <v>43435</v>
      </c>
    </row>
    <row r="43" spans="2:5">
      <c r="B43" s="123">
        <v>135</v>
      </c>
      <c r="D43" s="130" t="s">
        <v>428</v>
      </c>
      <c r="E43" s="131">
        <v>43435</v>
      </c>
    </row>
    <row r="44" spans="2:5">
      <c r="B44" s="123">
        <v>136</v>
      </c>
      <c r="D44" s="130" t="s">
        <v>429</v>
      </c>
      <c r="E44" s="131">
        <v>43465</v>
      </c>
    </row>
    <row r="45" spans="2:5">
      <c r="B45" s="123">
        <v>137</v>
      </c>
      <c r="D45" s="130" t="s">
        <v>429</v>
      </c>
      <c r="E45" s="131">
        <v>43465</v>
      </c>
    </row>
    <row r="46" spans="2:5">
      <c r="B46" s="123">
        <v>138</v>
      </c>
      <c r="D46" s="125" t="s">
        <v>88</v>
      </c>
      <c r="E46" s="125" t="s">
        <v>88</v>
      </c>
    </row>
    <row r="47" spans="2:5">
      <c r="B47" s="123">
        <v>139</v>
      </c>
      <c r="D47" s="125" t="s">
        <v>1069</v>
      </c>
      <c r="E47" s="125" t="s">
        <v>1070</v>
      </c>
    </row>
    <row r="48" spans="2:5">
      <c r="B48" s="123">
        <v>140</v>
      </c>
      <c r="D48" s="125" t="s">
        <v>1049</v>
      </c>
      <c r="E48" s="125" t="s">
        <v>1050</v>
      </c>
    </row>
    <row r="49" spans="2:5">
      <c r="B49" s="123">
        <v>141</v>
      </c>
      <c r="D49" s="125" t="s">
        <v>89</v>
      </c>
      <c r="E49" s="125" t="s">
        <v>642</v>
      </c>
    </row>
    <row r="50" spans="2:5">
      <c r="B50" s="123">
        <v>142</v>
      </c>
      <c r="C50" s="124" t="s">
        <v>516</v>
      </c>
      <c r="D50" s="125" t="s">
        <v>517</v>
      </c>
      <c r="E50" s="125" t="s">
        <v>518</v>
      </c>
    </row>
    <row r="51" spans="2:5">
      <c r="B51" s="123">
        <v>143</v>
      </c>
      <c r="D51" s="125" t="s">
        <v>90</v>
      </c>
      <c r="E51" s="125" t="s">
        <v>643</v>
      </c>
    </row>
    <row r="52" spans="2:5">
      <c r="B52" s="123">
        <v>144</v>
      </c>
      <c r="D52" s="125" t="s">
        <v>91</v>
      </c>
      <c r="E52" s="125" t="s">
        <v>644</v>
      </c>
    </row>
    <row r="53" spans="2:5">
      <c r="B53" s="123">
        <v>145</v>
      </c>
      <c r="D53" s="125" t="s">
        <v>430</v>
      </c>
      <c r="E53" s="125" t="s">
        <v>599</v>
      </c>
    </row>
    <row r="54" spans="2:5">
      <c r="B54" s="123">
        <v>146</v>
      </c>
      <c r="D54" s="125" t="s">
        <v>92</v>
      </c>
      <c r="E54" s="125" t="s">
        <v>645</v>
      </c>
    </row>
    <row r="55" spans="2:5">
      <c r="B55" s="123">
        <v>147</v>
      </c>
      <c r="D55" s="125" t="s">
        <v>93</v>
      </c>
      <c r="E55" s="125" t="s">
        <v>646</v>
      </c>
    </row>
    <row r="56" spans="2:5">
      <c r="B56" s="123">
        <v>148</v>
      </c>
      <c r="D56" s="125" t="s">
        <v>94</v>
      </c>
      <c r="E56" s="125" t="s">
        <v>647</v>
      </c>
    </row>
    <row r="57" spans="2:5">
      <c r="B57" s="123">
        <v>149</v>
      </c>
      <c r="D57" s="125" t="s">
        <v>95</v>
      </c>
      <c r="E57" s="125" t="s">
        <v>648</v>
      </c>
    </row>
    <row r="58" spans="2:5">
      <c r="B58" s="123">
        <v>150</v>
      </c>
      <c r="D58" s="125" t="s">
        <v>96</v>
      </c>
      <c r="E58" s="125" t="s">
        <v>649</v>
      </c>
    </row>
    <row r="59" spans="2:5">
      <c r="B59" s="123">
        <v>151</v>
      </c>
      <c r="D59" s="125" t="s">
        <v>431</v>
      </c>
      <c r="E59" s="125" t="s">
        <v>598</v>
      </c>
    </row>
    <row r="60" spans="2:5">
      <c r="B60" s="123">
        <v>152</v>
      </c>
      <c r="D60" s="125" t="s">
        <v>97</v>
      </c>
      <c r="E60" s="125" t="s">
        <v>650</v>
      </c>
    </row>
    <row r="61" spans="2:5">
      <c r="B61" s="123">
        <v>153</v>
      </c>
      <c r="D61" s="125" t="s">
        <v>98</v>
      </c>
      <c r="E61" s="125" t="s">
        <v>651</v>
      </c>
    </row>
    <row r="62" spans="2:5">
      <c r="B62" s="123">
        <v>154</v>
      </c>
      <c r="D62" s="125" t="s">
        <v>99</v>
      </c>
      <c r="E62" s="125" t="s">
        <v>652</v>
      </c>
    </row>
    <row r="63" spans="2:5">
      <c r="B63" s="123">
        <v>155</v>
      </c>
      <c r="D63" s="125" t="s">
        <v>100</v>
      </c>
      <c r="E63" s="125" t="s">
        <v>653</v>
      </c>
    </row>
    <row r="64" spans="2:5">
      <c r="B64" s="123">
        <v>156</v>
      </c>
      <c r="D64" s="125" t="s">
        <v>432</v>
      </c>
      <c r="E64" s="125" t="s">
        <v>654</v>
      </c>
    </row>
    <row r="65" spans="1:6">
      <c r="A65" s="132"/>
      <c r="B65" s="123">
        <v>157</v>
      </c>
      <c r="C65" s="128" t="s">
        <v>497</v>
      </c>
      <c r="D65" s="126" t="s">
        <v>519</v>
      </c>
      <c r="E65" s="126" t="s">
        <v>655</v>
      </c>
      <c r="F65" s="129"/>
    </row>
    <row r="66" spans="1:6">
      <c r="B66" s="123">
        <v>158</v>
      </c>
      <c r="D66" s="125" t="s">
        <v>101</v>
      </c>
      <c r="E66" s="126" t="s">
        <v>656</v>
      </c>
    </row>
    <row r="67" spans="1:6">
      <c r="B67" s="123">
        <v>159</v>
      </c>
      <c r="D67" s="125" t="s">
        <v>102</v>
      </c>
      <c r="E67" s="126" t="s">
        <v>657</v>
      </c>
    </row>
    <row r="68" spans="1:6">
      <c r="A68" s="132"/>
      <c r="B68" s="123">
        <v>160</v>
      </c>
      <c r="C68" s="128" t="s">
        <v>520</v>
      </c>
      <c r="D68" s="126" t="s">
        <v>521</v>
      </c>
      <c r="E68" s="126" t="s">
        <v>658</v>
      </c>
      <c r="F68" s="129"/>
    </row>
    <row r="69" spans="1:6">
      <c r="A69" s="132"/>
      <c r="B69" s="123">
        <v>161</v>
      </c>
      <c r="C69" s="128" t="s">
        <v>497</v>
      </c>
      <c r="D69" s="126" t="s">
        <v>522</v>
      </c>
      <c r="E69" s="126" t="s">
        <v>659</v>
      </c>
      <c r="F69" s="129"/>
    </row>
    <row r="70" spans="1:6">
      <c r="A70" s="132"/>
      <c r="B70" s="123">
        <v>162</v>
      </c>
      <c r="C70" s="128" t="s">
        <v>497</v>
      </c>
      <c r="D70" s="126" t="s">
        <v>523</v>
      </c>
      <c r="E70" s="126" t="s">
        <v>660</v>
      </c>
      <c r="F70" s="129"/>
    </row>
    <row r="71" spans="1:6">
      <c r="A71" s="132"/>
      <c r="B71" s="123">
        <v>163</v>
      </c>
      <c r="C71" s="128" t="s">
        <v>520</v>
      </c>
      <c r="D71" s="126" t="s">
        <v>505</v>
      </c>
      <c r="E71" s="126" t="s">
        <v>661</v>
      </c>
      <c r="F71" s="129"/>
    </row>
    <row r="72" spans="1:6">
      <c r="B72" s="123">
        <v>164</v>
      </c>
      <c r="D72" s="125" t="s">
        <v>103</v>
      </c>
      <c r="E72" s="125" t="s">
        <v>662</v>
      </c>
    </row>
    <row r="73" spans="1:6">
      <c r="B73" s="123">
        <v>165</v>
      </c>
      <c r="D73" s="125" t="s">
        <v>104</v>
      </c>
      <c r="E73" s="125" t="s">
        <v>663</v>
      </c>
    </row>
    <row r="74" spans="1:6">
      <c r="B74" s="123">
        <v>166</v>
      </c>
      <c r="D74" s="125" t="s">
        <v>524</v>
      </c>
      <c r="E74" s="125" t="s">
        <v>664</v>
      </c>
    </row>
    <row r="75" spans="1:6">
      <c r="B75" s="123">
        <v>167</v>
      </c>
      <c r="D75" s="125" t="s">
        <v>105</v>
      </c>
      <c r="E75" s="125" t="s">
        <v>665</v>
      </c>
    </row>
    <row r="76" spans="1:6">
      <c r="B76" s="123">
        <v>168</v>
      </c>
      <c r="D76" s="125" t="s">
        <v>106</v>
      </c>
      <c r="E76" s="125" t="s">
        <v>666</v>
      </c>
    </row>
    <row r="77" spans="1:6">
      <c r="B77" s="123">
        <v>169</v>
      </c>
      <c r="D77" s="125" t="s">
        <v>107</v>
      </c>
      <c r="E77" s="125" t="s">
        <v>1240</v>
      </c>
    </row>
    <row r="78" spans="1:6">
      <c r="B78" s="123">
        <v>170</v>
      </c>
      <c r="D78" s="125" t="s">
        <v>108</v>
      </c>
      <c r="E78" s="125" t="s">
        <v>667</v>
      </c>
    </row>
    <row r="79" spans="1:6" ht="26.4">
      <c r="B79" s="123">
        <v>171</v>
      </c>
      <c r="D79" s="125" t="s">
        <v>109</v>
      </c>
      <c r="E79" s="125" t="s">
        <v>581</v>
      </c>
    </row>
    <row r="80" spans="1:6">
      <c r="B80" s="123">
        <v>172</v>
      </c>
      <c r="D80" s="125" t="s">
        <v>110</v>
      </c>
      <c r="E80" s="125" t="s">
        <v>668</v>
      </c>
    </row>
    <row r="81" spans="2:5">
      <c r="B81" s="123">
        <v>173</v>
      </c>
      <c r="D81" s="125" t="s">
        <v>111</v>
      </c>
      <c r="E81" s="125" t="s">
        <v>669</v>
      </c>
    </row>
    <row r="82" spans="2:5">
      <c r="B82" s="123">
        <v>174</v>
      </c>
      <c r="D82" s="125" t="s">
        <v>112</v>
      </c>
      <c r="E82" s="125" t="s">
        <v>670</v>
      </c>
    </row>
    <row r="83" spans="2:5">
      <c r="B83" s="123">
        <v>175</v>
      </c>
      <c r="D83" s="125" t="s">
        <v>433</v>
      </c>
      <c r="E83" s="125" t="s">
        <v>671</v>
      </c>
    </row>
    <row r="84" spans="2:5">
      <c r="B84" s="123">
        <v>176</v>
      </c>
      <c r="D84" s="125" t="s">
        <v>113</v>
      </c>
      <c r="E84" s="125" t="s">
        <v>672</v>
      </c>
    </row>
    <row r="85" spans="2:5">
      <c r="B85" s="123">
        <v>177</v>
      </c>
      <c r="D85" s="125" t="s">
        <v>114</v>
      </c>
      <c r="E85" s="125" t="s">
        <v>673</v>
      </c>
    </row>
    <row r="86" spans="2:5">
      <c r="B86" s="123">
        <v>178</v>
      </c>
      <c r="D86" s="125" t="s">
        <v>115</v>
      </c>
      <c r="E86" s="125" t="s">
        <v>674</v>
      </c>
    </row>
    <row r="87" spans="2:5">
      <c r="B87" s="123">
        <v>179</v>
      </c>
      <c r="D87" s="125" t="s">
        <v>116</v>
      </c>
      <c r="E87" s="125" t="s">
        <v>675</v>
      </c>
    </row>
    <row r="88" spans="2:5">
      <c r="B88" s="123">
        <v>180</v>
      </c>
      <c r="D88" s="125" t="s">
        <v>117</v>
      </c>
      <c r="E88" s="125" t="s">
        <v>676</v>
      </c>
    </row>
    <row r="89" spans="2:5">
      <c r="B89" s="123">
        <v>181</v>
      </c>
      <c r="D89" s="125" t="s">
        <v>118</v>
      </c>
      <c r="E89" s="125" t="s">
        <v>677</v>
      </c>
    </row>
    <row r="90" spans="2:5">
      <c r="B90" s="123">
        <v>182</v>
      </c>
      <c r="D90" s="125" t="s">
        <v>119</v>
      </c>
      <c r="E90" s="125" t="s">
        <v>678</v>
      </c>
    </row>
    <row r="91" spans="2:5">
      <c r="B91" s="123">
        <v>183</v>
      </c>
      <c r="D91" s="125" t="s">
        <v>120</v>
      </c>
      <c r="E91" s="125" t="s">
        <v>679</v>
      </c>
    </row>
    <row r="92" spans="2:5">
      <c r="B92" s="123">
        <v>184</v>
      </c>
      <c r="D92" s="125" t="s">
        <v>434</v>
      </c>
      <c r="E92" s="125" t="s">
        <v>680</v>
      </c>
    </row>
    <row r="93" spans="2:5" ht="26.4">
      <c r="B93" s="123">
        <v>185</v>
      </c>
      <c r="D93" s="125" t="s">
        <v>435</v>
      </c>
      <c r="E93" s="125" t="s">
        <v>681</v>
      </c>
    </row>
    <row r="94" spans="2:5" ht="26.4">
      <c r="B94" s="123">
        <v>186</v>
      </c>
      <c r="D94" s="125" t="s">
        <v>121</v>
      </c>
      <c r="E94" s="125" t="s">
        <v>682</v>
      </c>
    </row>
    <row r="95" spans="2:5">
      <c r="B95" s="123">
        <v>187</v>
      </c>
      <c r="D95" s="125" t="s">
        <v>122</v>
      </c>
      <c r="E95" s="125" t="s">
        <v>123</v>
      </c>
    </row>
    <row r="96" spans="2:5">
      <c r="B96" s="123">
        <v>188</v>
      </c>
      <c r="D96" s="125" t="s">
        <v>436</v>
      </c>
      <c r="E96" s="125" t="s">
        <v>683</v>
      </c>
    </row>
    <row r="97" spans="2:5">
      <c r="B97" s="123">
        <v>189</v>
      </c>
      <c r="D97" s="125" t="s">
        <v>437</v>
      </c>
      <c r="E97" s="125" t="s">
        <v>684</v>
      </c>
    </row>
    <row r="98" spans="2:5">
      <c r="B98" s="123">
        <v>190</v>
      </c>
      <c r="D98" s="125" t="s">
        <v>438</v>
      </c>
      <c r="E98" s="125" t="s">
        <v>532</v>
      </c>
    </row>
    <row r="99" spans="2:5">
      <c r="B99" s="123">
        <v>191</v>
      </c>
      <c r="D99" s="125" t="s">
        <v>124</v>
      </c>
      <c r="E99" s="125" t="s">
        <v>685</v>
      </c>
    </row>
    <row r="100" spans="2:5" ht="26.4">
      <c r="B100" s="123">
        <v>192</v>
      </c>
      <c r="D100" s="125" t="s">
        <v>125</v>
      </c>
      <c r="E100" s="125" t="s">
        <v>686</v>
      </c>
    </row>
    <row r="101" spans="2:5" ht="26.4">
      <c r="B101" s="123">
        <v>193</v>
      </c>
      <c r="D101" s="125" t="s">
        <v>126</v>
      </c>
      <c r="E101" s="125" t="s">
        <v>687</v>
      </c>
    </row>
    <row r="102" spans="2:5">
      <c r="B102" s="123">
        <v>194</v>
      </c>
      <c r="D102" s="125" t="s">
        <v>127</v>
      </c>
      <c r="E102" s="125" t="s">
        <v>127</v>
      </c>
    </row>
    <row r="103" spans="2:5">
      <c r="B103" s="123">
        <v>195</v>
      </c>
      <c r="D103" s="125" t="s">
        <v>128</v>
      </c>
      <c r="E103" s="125" t="s">
        <v>688</v>
      </c>
    </row>
    <row r="104" spans="2:5">
      <c r="B104" s="123">
        <v>196</v>
      </c>
      <c r="D104" s="125" t="s">
        <v>129</v>
      </c>
      <c r="E104" s="125" t="s">
        <v>578</v>
      </c>
    </row>
    <row r="105" spans="2:5">
      <c r="B105" s="123">
        <v>197</v>
      </c>
      <c r="D105" s="125" t="s">
        <v>130</v>
      </c>
      <c r="E105" s="125" t="s">
        <v>1036</v>
      </c>
    </row>
    <row r="106" spans="2:5">
      <c r="B106" s="123">
        <v>198</v>
      </c>
      <c r="D106" s="125" t="s">
        <v>439</v>
      </c>
      <c r="E106" s="125" t="s">
        <v>689</v>
      </c>
    </row>
    <row r="107" spans="2:5">
      <c r="B107" s="123">
        <v>199</v>
      </c>
      <c r="D107" s="125" t="s">
        <v>131</v>
      </c>
      <c r="E107" s="125" t="s">
        <v>690</v>
      </c>
    </row>
    <row r="108" spans="2:5">
      <c r="B108" s="123">
        <v>200</v>
      </c>
      <c r="D108" s="125" t="s">
        <v>440</v>
      </c>
      <c r="E108" s="125" t="s">
        <v>691</v>
      </c>
    </row>
    <row r="109" spans="2:5">
      <c r="B109" s="123">
        <v>201</v>
      </c>
      <c r="D109" s="125" t="s">
        <v>132</v>
      </c>
      <c r="E109" s="125" t="s">
        <v>692</v>
      </c>
    </row>
    <row r="110" spans="2:5">
      <c r="B110" s="123">
        <v>202</v>
      </c>
      <c r="D110" s="125" t="s">
        <v>133</v>
      </c>
      <c r="E110" s="125" t="s">
        <v>693</v>
      </c>
    </row>
    <row r="111" spans="2:5">
      <c r="B111" s="123">
        <v>203</v>
      </c>
      <c r="D111" s="125" t="s">
        <v>134</v>
      </c>
      <c r="E111" s="125" t="s">
        <v>694</v>
      </c>
    </row>
    <row r="112" spans="2:5">
      <c r="B112" s="123">
        <v>204</v>
      </c>
      <c r="D112" s="125" t="s">
        <v>441</v>
      </c>
      <c r="E112" s="125" t="s">
        <v>695</v>
      </c>
    </row>
    <row r="113" spans="2:5">
      <c r="B113" s="123">
        <v>205</v>
      </c>
      <c r="D113" s="125" t="s">
        <v>135</v>
      </c>
      <c r="E113" s="125" t="s">
        <v>696</v>
      </c>
    </row>
    <row r="114" spans="2:5">
      <c r="B114" s="123">
        <v>206</v>
      </c>
      <c r="D114" s="125" t="s">
        <v>136</v>
      </c>
      <c r="E114" s="125" t="s">
        <v>697</v>
      </c>
    </row>
    <row r="115" spans="2:5">
      <c r="B115" s="123">
        <v>207</v>
      </c>
      <c r="D115" s="125" t="s">
        <v>137</v>
      </c>
      <c r="E115" s="125" t="s">
        <v>698</v>
      </c>
    </row>
    <row r="116" spans="2:5">
      <c r="B116" s="123">
        <v>208</v>
      </c>
      <c r="D116" s="125" t="s">
        <v>442</v>
      </c>
      <c r="E116" s="125" t="s">
        <v>699</v>
      </c>
    </row>
    <row r="117" spans="2:5">
      <c r="B117" s="123">
        <v>209</v>
      </c>
      <c r="D117" s="125" t="s">
        <v>443</v>
      </c>
      <c r="E117" s="125" t="s">
        <v>700</v>
      </c>
    </row>
    <row r="118" spans="2:5">
      <c r="B118" s="123">
        <v>210</v>
      </c>
      <c r="D118" s="125" t="s">
        <v>444</v>
      </c>
      <c r="E118" s="125" t="s">
        <v>701</v>
      </c>
    </row>
    <row r="119" spans="2:5">
      <c r="B119" s="123">
        <v>211</v>
      </c>
      <c r="D119" s="125" t="s">
        <v>445</v>
      </c>
      <c r="E119" s="125" t="s">
        <v>702</v>
      </c>
    </row>
    <row r="120" spans="2:5">
      <c r="B120" s="123">
        <v>212</v>
      </c>
      <c r="D120" s="125" t="s">
        <v>446</v>
      </c>
      <c r="E120" s="125" t="s">
        <v>703</v>
      </c>
    </row>
    <row r="121" spans="2:5">
      <c r="B121" s="123">
        <v>213</v>
      </c>
      <c r="D121" s="125" t="s">
        <v>138</v>
      </c>
      <c r="E121" s="125" t="s">
        <v>577</v>
      </c>
    </row>
    <row r="122" spans="2:5">
      <c r="B122" s="123">
        <v>214</v>
      </c>
      <c r="D122" s="125" t="s">
        <v>447</v>
      </c>
      <c r="E122" s="125" t="s">
        <v>704</v>
      </c>
    </row>
    <row r="123" spans="2:5">
      <c r="B123" s="123">
        <v>215</v>
      </c>
      <c r="D123" s="125" t="s">
        <v>139</v>
      </c>
      <c r="E123" s="125" t="s">
        <v>543</v>
      </c>
    </row>
    <row r="124" spans="2:5">
      <c r="B124" s="123">
        <v>216</v>
      </c>
      <c r="D124" s="125" t="s">
        <v>140</v>
      </c>
      <c r="E124" s="125" t="s">
        <v>705</v>
      </c>
    </row>
    <row r="125" spans="2:5">
      <c r="B125" s="123">
        <v>217</v>
      </c>
      <c r="D125" s="125" t="s">
        <v>141</v>
      </c>
      <c r="E125" s="125" t="s">
        <v>706</v>
      </c>
    </row>
    <row r="126" spans="2:5">
      <c r="B126" s="123">
        <v>218</v>
      </c>
      <c r="D126" s="125" t="s">
        <v>448</v>
      </c>
      <c r="E126" s="125" t="s">
        <v>707</v>
      </c>
    </row>
    <row r="127" spans="2:5">
      <c r="B127" s="123">
        <v>219</v>
      </c>
      <c r="D127" s="125" t="s">
        <v>449</v>
      </c>
      <c r="E127" s="125" t="s">
        <v>708</v>
      </c>
    </row>
    <row r="128" spans="2:5">
      <c r="B128" s="123">
        <v>220</v>
      </c>
      <c r="D128" s="125" t="s">
        <v>539</v>
      </c>
      <c r="E128" s="125" t="s">
        <v>709</v>
      </c>
    </row>
    <row r="129" spans="2:5">
      <c r="B129" s="123">
        <v>221</v>
      </c>
      <c r="D129" s="125" t="s">
        <v>450</v>
      </c>
      <c r="E129" s="125" t="s">
        <v>710</v>
      </c>
    </row>
    <row r="130" spans="2:5">
      <c r="B130" s="123">
        <v>222</v>
      </c>
      <c r="D130" s="125" t="s">
        <v>451</v>
      </c>
      <c r="E130" s="125" t="s">
        <v>711</v>
      </c>
    </row>
    <row r="131" spans="2:5">
      <c r="B131" s="123">
        <v>223</v>
      </c>
      <c r="D131" s="125" t="s">
        <v>452</v>
      </c>
      <c r="E131" s="125" t="s">
        <v>712</v>
      </c>
    </row>
    <row r="132" spans="2:5">
      <c r="B132" s="123">
        <v>224</v>
      </c>
      <c r="D132" s="125" t="s">
        <v>453</v>
      </c>
      <c r="E132" s="125" t="s">
        <v>713</v>
      </c>
    </row>
    <row r="133" spans="2:5">
      <c r="B133" s="123">
        <v>225</v>
      </c>
      <c r="D133" s="125" t="s">
        <v>560</v>
      </c>
      <c r="E133" s="125" t="s">
        <v>562</v>
      </c>
    </row>
    <row r="134" spans="2:5">
      <c r="B134" s="123">
        <v>226</v>
      </c>
      <c r="D134" s="125" t="s">
        <v>142</v>
      </c>
      <c r="E134" s="125" t="s">
        <v>714</v>
      </c>
    </row>
    <row r="135" spans="2:5">
      <c r="B135" s="123">
        <v>227</v>
      </c>
      <c r="D135" s="125" t="s">
        <v>143</v>
      </c>
      <c r="E135" s="125" t="s">
        <v>715</v>
      </c>
    </row>
    <row r="136" spans="2:5">
      <c r="B136" s="123">
        <v>228</v>
      </c>
      <c r="D136" s="125" t="s">
        <v>144</v>
      </c>
      <c r="E136" s="125" t="s">
        <v>716</v>
      </c>
    </row>
    <row r="137" spans="2:5">
      <c r="B137" s="123">
        <v>229</v>
      </c>
      <c r="D137" s="125" t="s">
        <v>145</v>
      </c>
      <c r="E137" s="125" t="s">
        <v>717</v>
      </c>
    </row>
    <row r="138" spans="2:5">
      <c r="B138" s="123">
        <v>230</v>
      </c>
      <c r="D138" s="125" t="s">
        <v>454</v>
      </c>
      <c r="E138" s="125" t="s">
        <v>718</v>
      </c>
    </row>
    <row r="139" spans="2:5">
      <c r="B139" s="123">
        <v>231</v>
      </c>
      <c r="D139" s="125" t="s">
        <v>455</v>
      </c>
      <c r="E139" s="125" t="s">
        <v>719</v>
      </c>
    </row>
    <row r="140" spans="2:5">
      <c r="B140" s="123">
        <v>232</v>
      </c>
      <c r="D140" s="125" t="s">
        <v>456</v>
      </c>
      <c r="E140" s="125" t="s">
        <v>720</v>
      </c>
    </row>
    <row r="141" spans="2:5">
      <c r="B141" s="123">
        <v>233</v>
      </c>
      <c r="D141" s="125" t="s">
        <v>146</v>
      </c>
      <c r="E141" s="125" t="s">
        <v>721</v>
      </c>
    </row>
    <row r="142" spans="2:5">
      <c r="B142" s="123">
        <v>234</v>
      </c>
      <c r="D142" s="125" t="s">
        <v>147</v>
      </c>
      <c r="E142" s="125" t="s">
        <v>722</v>
      </c>
    </row>
    <row r="143" spans="2:5">
      <c r="B143" s="123">
        <v>235</v>
      </c>
      <c r="D143" s="125" t="s">
        <v>457</v>
      </c>
      <c r="E143" s="125" t="s">
        <v>723</v>
      </c>
    </row>
    <row r="144" spans="2:5">
      <c r="B144" s="123">
        <v>236</v>
      </c>
      <c r="D144" s="125" t="s">
        <v>148</v>
      </c>
      <c r="E144" s="125" t="s">
        <v>724</v>
      </c>
    </row>
    <row r="145" spans="2:5" ht="39.6">
      <c r="B145" s="123">
        <v>237</v>
      </c>
      <c r="D145" s="125" t="s">
        <v>149</v>
      </c>
      <c r="E145" s="125" t="s">
        <v>725</v>
      </c>
    </row>
    <row r="146" spans="2:5">
      <c r="B146" s="123">
        <v>238</v>
      </c>
      <c r="D146" s="125" t="s">
        <v>150</v>
      </c>
      <c r="E146" s="125" t="s">
        <v>726</v>
      </c>
    </row>
    <row r="147" spans="2:5">
      <c r="B147" s="123">
        <v>239</v>
      </c>
      <c r="D147" s="125" t="s">
        <v>151</v>
      </c>
      <c r="E147" s="125" t="s">
        <v>727</v>
      </c>
    </row>
    <row r="148" spans="2:5">
      <c r="B148" s="123">
        <v>240</v>
      </c>
      <c r="D148" s="125" t="s">
        <v>152</v>
      </c>
      <c r="E148" s="125" t="s">
        <v>728</v>
      </c>
    </row>
    <row r="149" spans="2:5">
      <c r="B149" s="123">
        <v>241</v>
      </c>
      <c r="D149" s="125" t="s">
        <v>153</v>
      </c>
      <c r="E149" s="125" t="s">
        <v>729</v>
      </c>
    </row>
    <row r="150" spans="2:5">
      <c r="B150" s="123">
        <v>242</v>
      </c>
      <c r="D150" s="125" t="s">
        <v>154</v>
      </c>
      <c r="E150" s="125" t="s">
        <v>730</v>
      </c>
    </row>
    <row r="151" spans="2:5">
      <c r="B151" s="123">
        <v>243</v>
      </c>
      <c r="D151" s="125" t="s">
        <v>155</v>
      </c>
      <c r="E151" s="125" t="s">
        <v>731</v>
      </c>
    </row>
    <row r="152" spans="2:5">
      <c r="B152" s="123">
        <v>244</v>
      </c>
      <c r="D152" s="125" t="s">
        <v>156</v>
      </c>
      <c r="E152" s="125" t="s">
        <v>732</v>
      </c>
    </row>
    <row r="153" spans="2:5">
      <c r="B153" s="123">
        <v>245</v>
      </c>
      <c r="D153" s="125" t="s">
        <v>157</v>
      </c>
      <c r="E153" s="125" t="s">
        <v>573</v>
      </c>
    </row>
    <row r="154" spans="2:5">
      <c r="B154" s="123">
        <v>246</v>
      </c>
      <c r="D154" s="125" t="s">
        <v>158</v>
      </c>
      <c r="E154" s="125" t="s">
        <v>733</v>
      </c>
    </row>
    <row r="155" spans="2:5">
      <c r="B155" s="123">
        <v>247</v>
      </c>
      <c r="D155" s="125" t="s">
        <v>159</v>
      </c>
      <c r="E155" s="125" t="s">
        <v>734</v>
      </c>
    </row>
    <row r="156" spans="2:5">
      <c r="B156" s="123">
        <v>248</v>
      </c>
      <c r="D156" s="125" t="s">
        <v>160</v>
      </c>
      <c r="E156" s="125" t="s">
        <v>735</v>
      </c>
    </row>
    <row r="157" spans="2:5">
      <c r="B157" s="123">
        <v>249</v>
      </c>
      <c r="D157" s="125" t="s">
        <v>161</v>
      </c>
      <c r="E157" s="125" t="s">
        <v>736</v>
      </c>
    </row>
    <row r="158" spans="2:5">
      <c r="B158" s="123">
        <v>250</v>
      </c>
      <c r="D158" s="125" t="s">
        <v>458</v>
      </c>
      <c r="E158" s="125" t="s">
        <v>737</v>
      </c>
    </row>
    <row r="159" spans="2:5">
      <c r="B159" s="123">
        <v>251</v>
      </c>
      <c r="D159" s="125" t="s">
        <v>162</v>
      </c>
      <c r="E159" s="125" t="s">
        <v>738</v>
      </c>
    </row>
    <row r="160" spans="2:5">
      <c r="B160" s="123">
        <v>252</v>
      </c>
      <c r="D160" s="125" t="s">
        <v>163</v>
      </c>
      <c r="E160" s="125" t="s">
        <v>739</v>
      </c>
    </row>
    <row r="161" spans="2:5">
      <c r="B161" s="123">
        <v>253</v>
      </c>
      <c r="D161" s="125" t="s">
        <v>164</v>
      </c>
      <c r="E161" s="125" t="s">
        <v>740</v>
      </c>
    </row>
    <row r="162" spans="2:5">
      <c r="B162" s="123">
        <v>254</v>
      </c>
      <c r="D162" s="125" t="s">
        <v>459</v>
      </c>
      <c r="E162" s="125" t="s">
        <v>741</v>
      </c>
    </row>
    <row r="163" spans="2:5">
      <c r="B163" s="123">
        <v>255</v>
      </c>
      <c r="D163" s="125" t="s">
        <v>460</v>
      </c>
      <c r="E163" s="125" t="s">
        <v>742</v>
      </c>
    </row>
    <row r="164" spans="2:5">
      <c r="B164" s="123">
        <v>256</v>
      </c>
      <c r="D164" s="125" t="s">
        <v>461</v>
      </c>
      <c r="E164" s="125" t="s">
        <v>743</v>
      </c>
    </row>
    <row r="165" spans="2:5">
      <c r="B165" s="123">
        <v>257</v>
      </c>
      <c r="D165" s="125" t="s">
        <v>559</v>
      </c>
      <c r="E165" s="125" t="s">
        <v>744</v>
      </c>
    </row>
    <row r="166" spans="2:5">
      <c r="B166" s="123">
        <v>258</v>
      </c>
      <c r="D166" s="125" t="s">
        <v>165</v>
      </c>
      <c r="E166" s="125" t="s">
        <v>745</v>
      </c>
    </row>
    <row r="167" spans="2:5" ht="26.4">
      <c r="B167" s="123">
        <v>259</v>
      </c>
      <c r="D167" s="125" t="s">
        <v>166</v>
      </c>
      <c r="E167" s="125" t="s">
        <v>746</v>
      </c>
    </row>
    <row r="168" spans="2:5" ht="26.4">
      <c r="B168" s="123">
        <v>260</v>
      </c>
      <c r="D168" s="125" t="s">
        <v>167</v>
      </c>
      <c r="E168" s="125" t="s">
        <v>747</v>
      </c>
    </row>
    <row r="169" spans="2:5" ht="26.4">
      <c r="B169" s="123">
        <v>261</v>
      </c>
      <c r="D169" s="125" t="s">
        <v>168</v>
      </c>
      <c r="E169" s="125" t="s">
        <v>748</v>
      </c>
    </row>
    <row r="170" spans="2:5">
      <c r="B170" s="123">
        <v>262</v>
      </c>
      <c r="D170" s="125" t="s">
        <v>169</v>
      </c>
      <c r="E170" s="125" t="s">
        <v>749</v>
      </c>
    </row>
    <row r="171" spans="2:5">
      <c r="B171" s="123">
        <v>263</v>
      </c>
      <c r="D171" s="125" t="s">
        <v>170</v>
      </c>
      <c r="E171" s="125" t="s">
        <v>750</v>
      </c>
    </row>
    <row r="172" spans="2:5">
      <c r="B172" s="123">
        <v>264</v>
      </c>
      <c r="D172" s="125" t="s">
        <v>171</v>
      </c>
      <c r="E172" s="125" t="s">
        <v>751</v>
      </c>
    </row>
    <row r="173" spans="2:5">
      <c r="B173" s="123">
        <v>265</v>
      </c>
      <c r="D173" s="125" t="s">
        <v>172</v>
      </c>
      <c r="E173" s="125" t="s">
        <v>752</v>
      </c>
    </row>
    <row r="174" spans="2:5">
      <c r="B174" s="123">
        <v>266</v>
      </c>
      <c r="D174" s="125" t="s">
        <v>173</v>
      </c>
      <c r="E174" s="125" t="s">
        <v>753</v>
      </c>
    </row>
    <row r="175" spans="2:5" ht="26.4">
      <c r="B175" s="123">
        <v>267</v>
      </c>
      <c r="D175" s="125" t="s">
        <v>174</v>
      </c>
      <c r="E175" s="125" t="s">
        <v>754</v>
      </c>
    </row>
    <row r="176" spans="2:5">
      <c r="B176" s="123">
        <v>268</v>
      </c>
      <c r="D176" s="125" t="s">
        <v>175</v>
      </c>
      <c r="E176" s="125" t="s">
        <v>755</v>
      </c>
    </row>
    <row r="177" spans="2:5">
      <c r="B177" s="123">
        <v>269</v>
      </c>
      <c r="D177" s="125" t="s">
        <v>176</v>
      </c>
      <c r="E177" s="125" t="s">
        <v>756</v>
      </c>
    </row>
    <row r="178" spans="2:5">
      <c r="B178" s="123">
        <v>270</v>
      </c>
      <c r="D178" s="125" t="s">
        <v>177</v>
      </c>
      <c r="E178" s="125" t="s">
        <v>757</v>
      </c>
    </row>
    <row r="179" spans="2:5">
      <c r="B179" s="123">
        <v>271</v>
      </c>
      <c r="D179" s="125" t="s">
        <v>178</v>
      </c>
      <c r="E179" s="125" t="s">
        <v>758</v>
      </c>
    </row>
    <row r="180" spans="2:5">
      <c r="B180" s="123">
        <v>272</v>
      </c>
      <c r="D180" s="125" t="s">
        <v>179</v>
      </c>
      <c r="E180" s="125" t="s">
        <v>759</v>
      </c>
    </row>
    <row r="181" spans="2:5">
      <c r="B181" s="123">
        <v>273</v>
      </c>
      <c r="D181" s="125" t="s">
        <v>180</v>
      </c>
      <c r="E181" s="125" t="s">
        <v>760</v>
      </c>
    </row>
    <row r="182" spans="2:5">
      <c r="B182" s="123">
        <v>274</v>
      </c>
      <c r="D182" s="125" t="s">
        <v>462</v>
      </c>
      <c r="E182" s="125" t="s">
        <v>761</v>
      </c>
    </row>
    <row r="183" spans="2:5">
      <c r="B183" s="123">
        <v>275</v>
      </c>
      <c r="D183" s="125" t="s">
        <v>181</v>
      </c>
      <c r="E183" s="125" t="s">
        <v>762</v>
      </c>
    </row>
    <row r="184" spans="2:5">
      <c r="B184" s="123">
        <v>276</v>
      </c>
      <c r="D184" s="125" t="s">
        <v>463</v>
      </c>
      <c r="E184" s="125" t="s">
        <v>763</v>
      </c>
    </row>
    <row r="185" spans="2:5" ht="26.4">
      <c r="B185" s="123">
        <v>277</v>
      </c>
      <c r="D185" s="125" t="s">
        <v>182</v>
      </c>
    </row>
    <row r="186" spans="2:5">
      <c r="B186" s="123">
        <v>278</v>
      </c>
      <c r="D186" s="125" t="s">
        <v>183</v>
      </c>
      <c r="E186" s="125" t="s">
        <v>764</v>
      </c>
    </row>
    <row r="187" spans="2:5">
      <c r="B187" s="123">
        <v>279</v>
      </c>
      <c r="D187" s="125" t="s">
        <v>184</v>
      </c>
      <c r="E187" s="125" t="s">
        <v>765</v>
      </c>
    </row>
    <row r="188" spans="2:5">
      <c r="B188" s="123">
        <v>280</v>
      </c>
      <c r="D188" s="125" t="s">
        <v>185</v>
      </c>
      <c r="E188" s="125" t="s">
        <v>766</v>
      </c>
    </row>
    <row r="189" spans="2:5">
      <c r="B189" s="123">
        <v>281</v>
      </c>
      <c r="D189" s="125" t="s">
        <v>186</v>
      </c>
      <c r="E189" s="125" t="s">
        <v>767</v>
      </c>
    </row>
    <row r="190" spans="2:5">
      <c r="B190" s="123">
        <v>282</v>
      </c>
      <c r="D190" s="125" t="s">
        <v>464</v>
      </c>
      <c r="E190" s="125" t="s">
        <v>768</v>
      </c>
    </row>
    <row r="191" spans="2:5">
      <c r="B191" s="123">
        <v>283</v>
      </c>
      <c r="D191" s="125" t="s">
        <v>187</v>
      </c>
      <c r="E191" s="125" t="s">
        <v>769</v>
      </c>
    </row>
    <row r="192" spans="2:5">
      <c r="B192" s="123">
        <v>284</v>
      </c>
      <c r="D192" s="125" t="s">
        <v>188</v>
      </c>
      <c r="E192" s="125" t="s">
        <v>770</v>
      </c>
    </row>
    <row r="193" spans="2:5">
      <c r="B193" s="123">
        <v>285</v>
      </c>
      <c r="D193" s="125" t="s">
        <v>1</v>
      </c>
      <c r="E193" s="125" t="s">
        <v>1</v>
      </c>
    </row>
    <row r="194" spans="2:5">
      <c r="B194" s="123">
        <v>286</v>
      </c>
      <c r="D194" s="125" t="s">
        <v>1067</v>
      </c>
      <c r="E194" s="125" t="s">
        <v>1068</v>
      </c>
    </row>
    <row r="195" spans="2:5">
      <c r="B195" s="123">
        <v>287</v>
      </c>
      <c r="D195" s="125" t="s">
        <v>1051</v>
      </c>
      <c r="E195" s="125" t="s">
        <v>1052</v>
      </c>
    </row>
    <row r="196" spans="2:5">
      <c r="B196" s="123">
        <v>288</v>
      </c>
      <c r="D196" s="125" t="s">
        <v>2</v>
      </c>
      <c r="E196" s="125" t="s">
        <v>2</v>
      </c>
    </row>
    <row r="197" spans="2:5">
      <c r="B197" s="123">
        <v>289</v>
      </c>
      <c r="D197" s="125" t="s">
        <v>189</v>
      </c>
      <c r="E197" s="125" t="s">
        <v>190</v>
      </c>
    </row>
    <row r="198" spans="2:5">
      <c r="B198" s="123">
        <v>290</v>
      </c>
      <c r="D198" s="125" t="s">
        <v>191</v>
      </c>
      <c r="E198" s="125" t="s">
        <v>525</v>
      </c>
    </row>
    <row r="199" spans="2:5">
      <c r="B199" s="123">
        <v>291</v>
      </c>
      <c r="D199" s="125" t="s">
        <v>192</v>
      </c>
      <c r="E199" s="125" t="s">
        <v>771</v>
      </c>
    </row>
    <row r="200" spans="2:5">
      <c r="B200" s="123">
        <v>292</v>
      </c>
      <c r="D200" s="125" t="s">
        <v>193</v>
      </c>
      <c r="E200" s="125" t="s">
        <v>772</v>
      </c>
    </row>
    <row r="201" spans="2:5">
      <c r="B201" s="123">
        <v>293</v>
      </c>
      <c r="D201" s="125" t="s">
        <v>465</v>
      </c>
      <c r="E201" s="125" t="s">
        <v>773</v>
      </c>
    </row>
    <row r="202" spans="2:5">
      <c r="B202" s="123">
        <v>294</v>
      </c>
      <c r="D202" s="125" t="s">
        <v>466</v>
      </c>
      <c r="E202" s="125" t="s">
        <v>774</v>
      </c>
    </row>
    <row r="203" spans="2:5">
      <c r="B203" s="123">
        <v>295</v>
      </c>
      <c r="D203" s="125" t="s">
        <v>467</v>
      </c>
      <c r="E203" s="125" t="s">
        <v>773</v>
      </c>
    </row>
    <row r="204" spans="2:5">
      <c r="B204" s="123">
        <v>296</v>
      </c>
      <c r="D204" s="125" t="s">
        <v>194</v>
      </c>
      <c r="E204" s="125" t="s">
        <v>775</v>
      </c>
    </row>
    <row r="205" spans="2:5">
      <c r="B205" s="123">
        <v>297</v>
      </c>
      <c r="D205" s="125" t="s">
        <v>468</v>
      </c>
      <c r="E205" s="125" t="s">
        <v>776</v>
      </c>
    </row>
    <row r="206" spans="2:5">
      <c r="B206" s="123">
        <v>298</v>
      </c>
      <c r="D206" s="125" t="s">
        <v>195</v>
      </c>
      <c r="E206" s="125" t="s">
        <v>777</v>
      </c>
    </row>
    <row r="207" spans="2:5">
      <c r="B207" s="123">
        <v>299</v>
      </c>
      <c r="D207" s="125" t="s">
        <v>498</v>
      </c>
      <c r="E207" s="125" t="s">
        <v>778</v>
      </c>
    </row>
    <row r="208" spans="2:5">
      <c r="B208" s="123">
        <v>300</v>
      </c>
      <c r="D208" s="125" t="s">
        <v>499</v>
      </c>
      <c r="E208" s="125" t="s">
        <v>779</v>
      </c>
    </row>
    <row r="209" spans="2:5">
      <c r="B209" s="123">
        <v>301</v>
      </c>
      <c r="D209" s="125" t="s">
        <v>196</v>
      </c>
      <c r="E209" s="125" t="s">
        <v>780</v>
      </c>
    </row>
    <row r="210" spans="2:5">
      <c r="B210" s="123">
        <v>302</v>
      </c>
      <c r="D210" s="125" t="s">
        <v>469</v>
      </c>
      <c r="E210" s="125" t="s">
        <v>781</v>
      </c>
    </row>
    <row r="211" spans="2:5">
      <c r="B211" s="123">
        <v>303</v>
      </c>
      <c r="D211" s="125" t="s">
        <v>197</v>
      </c>
      <c r="E211" s="125" t="s">
        <v>782</v>
      </c>
    </row>
    <row r="212" spans="2:5">
      <c r="B212" s="123">
        <v>304</v>
      </c>
      <c r="D212" s="125" t="s">
        <v>198</v>
      </c>
      <c r="E212" s="125" t="s">
        <v>783</v>
      </c>
    </row>
    <row r="213" spans="2:5">
      <c r="B213" s="123">
        <v>305</v>
      </c>
      <c r="D213" s="125" t="s">
        <v>199</v>
      </c>
      <c r="E213" s="125" t="s">
        <v>540</v>
      </c>
    </row>
    <row r="214" spans="2:5" ht="26.4">
      <c r="B214" s="123">
        <v>306</v>
      </c>
      <c r="D214" s="125" t="s">
        <v>200</v>
      </c>
      <c r="E214" s="125" t="s">
        <v>784</v>
      </c>
    </row>
    <row r="215" spans="2:5" ht="26.4">
      <c r="B215" s="123">
        <v>307</v>
      </c>
      <c r="D215" s="125" t="s">
        <v>500</v>
      </c>
      <c r="E215" s="125" t="s">
        <v>785</v>
      </c>
    </row>
    <row r="216" spans="2:5">
      <c r="B216" s="123">
        <v>308</v>
      </c>
      <c r="D216" s="125" t="s">
        <v>501</v>
      </c>
      <c r="E216" s="125" t="s">
        <v>786</v>
      </c>
    </row>
    <row r="217" spans="2:5">
      <c r="B217" s="123">
        <v>309</v>
      </c>
      <c r="D217" s="125" t="s">
        <v>470</v>
      </c>
      <c r="E217" s="125" t="s">
        <v>787</v>
      </c>
    </row>
    <row r="218" spans="2:5">
      <c r="B218" s="123">
        <v>310</v>
      </c>
      <c r="D218" s="125" t="s">
        <v>201</v>
      </c>
      <c r="E218" s="125" t="s">
        <v>788</v>
      </c>
    </row>
    <row r="219" spans="2:5">
      <c r="B219" s="123">
        <v>311</v>
      </c>
      <c r="D219" s="125" t="s">
        <v>471</v>
      </c>
      <c r="E219" s="125" t="s">
        <v>789</v>
      </c>
    </row>
    <row r="220" spans="2:5">
      <c r="B220" s="123">
        <v>312</v>
      </c>
      <c r="D220" s="125" t="s">
        <v>472</v>
      </c>
      <c r="E220" s="125" t="s">
        <v>790</v>
      </c>
    </row>
    <row r="221" spans="2:5">
      <c r="B221" s="123">
        <v>313</v>
      </c>
      <c r="D221" s="125" t="s">
        <v>202</v>
      </c>
      <c r="E221" s="125" t="s">
        <v>791</v>
      </c>
    </row>
    <row r="222" spans="2:5">
      <c r="B222" s="123">
        <v>314</v>
      </c>
      <c r="D222" s="125" t="s">
        <v>203</v>
      </c>
      <c r="E222" s="125" t="s">
        <v>792</v>
      </c>
    </row>
    <row r="223" spans="2:5">
      <c r="B223" s="123">
        <v>315</v>
      </c>
      <c r="D223" s="125" t="s">
        <v>473</v>
      </c>
      <c r="E223" s="125" t="s">
        <v>793</v>
      </c>
    </row>
    <row r="224" spans="2:5">
      <c r="B224" s="123">
        <v>316</v>
      </c>
      <c r="D224" s="125" t="s">
        <v>1121</v>
      </c>
      <c r="E224" s="125" t="s">
        <v>1122</v>
      </c>
    </row>
    <row r="225" spans="2:5">
      <c r="B225" s="123">
        <v>317</v>
      </c>
      <c r="D225" s="125" t="s">
        <v>1095</v>
      </c>
      <c r="E225" s="125" t="s">
        <v>1097</v>
      </c>
    </row>
    <row r="226" spans="2:5" ht="26.4">
      <c r="B226" s="123">
        <v>318</v>
      </c>
      <c r="D226" s="125" t="s">
        <v>1096</v>
      </c>
      <c r="E226" s="125" t="s">
        <v>1098</v>
      </c>
    </row>
    <row r="227" spans="2:5">
      <c r="B227" s="123">
        <v>319</v>
      </c>
      <c r="D227" s="125" t="s">
        <v>204</v>
      </c>
      <c r="E227" s="125" t="s">
        <v>794</v>
      </c>
    </row>
    <row r="228" spans="2:5">
      <c r="B228" s="123">
        <v>320</v>
      </c>
      <c r="C228" s="124" t="s">
        <v>516</v>
      </c>
      <c r="D228" s="125" t="s">
        <v>526</v>
      </c>
      <c r="E228" s="125" t="s">
        <v>527</v>
      </c>
    </row>
    <row r="229" spans="2:5">
      <c r="B229" s="123">
        <v>321</v>
      </c>
      <c r="D229" s="125" t="s">
        <v>205</v>
      </c>
      <c r="E229" s="125" t="s">
        <v>795</v>
      </c>
    </row>
    <row r="230" spans="2:5">
      <c r="B230" s="123">
        <v>322</v>
      </c>
      <c r="D230" s="125" t="s">
        <v>206</v>
      </c>
      <c r="E230" s="125" t="s">
        <v>796</v>
      </c>
    </row>
    <row r="231" spans="2:5">
      <c r="B231" s="123">
        <v>323</v>
      </c>
      <c r="D231" s="125" t="s">
        <v>207</v>
      </c>
      <c r="E231" s="125" t="s">
        <v>797</v>
      </c>
    </row>
    <row r="232" spans="2:5">
      <c r="B232" s="123">
        <v>324</v>
      </c>
      <c r="D232" s="125" t="s">
        <v>208</v>
      </c>
      <c r="E232" s="125" t="s">
        <v>798</v>
      </c>
    </row>
    <row r="233" spans="2:5">
      <c r="B233" s="123">
        <v>325</v>
      </c>
      <c r="D233" s="125" t="s">
        <v>209</v>
      </c>
      <c r="E233" s="125" t="s">
        <v>799</v>
      </c>
    </row>
    <row r="234" spans="2:5">
      <c r="B234" s="123">
        <v>326</v>
      </c>
      <c r="D234" s="125" t="s">
        <v>1053</v>
      </c>
      <c r="E234" s="125" t="s">
        <v>1054</v>
      </c>
    </row>
    <row r="235" spans="2:5">
      <c r="B235" s="123">
        <v>327</v>
      </c>
      <c r="D235" s="125" t="s">
        <v>1057</v>
      </c>
      <c r="E235" s="125" t="s">
        <v>1058</v>
      </c>
    </row>
    <row r="236" spans="2:5">
      <c r="B236" s="123">
        <v>328</v>
      </c>
      <c r="D236" s="125" t="s">
        <v>1084</v>
      </c>
      <c r="E236" s="125" t="s">
        <v>1085</v>
      </c>
    </row>
    <row r="237" spans="2:5">
      <c r="B237" s="123">
        <v>329</v>
      </c>
      <c r="D237" s="125" t="s">
        <v>210</v>
      </c>
      <c r="E237" s="125" t="s">
        <v>800</v>
      </c>
    </row>
    <row r="238" spans="2:5" ht="39.6">
      <c r="B238" s="123">
        <v>330</v>
      </c>
      <c r="D238" s="125" t="s">
        <v>211</v>
      </c>
      <c r="E238" s="125" t="s">
        <v>801</v>
      </c>
    </row>
    <row r="239" spans="2:5">
      <c r="B239" s="123">
        <v>331</v>
      </c>
      <c r="D239" s="125" t="s">
        <v>212</v>
      </c>
      <c r="E239" s="125" t="s">
        <v>802</v>
      </c>
    </row>
    <row r="240" spans="2:5">
      <c r="B240" s="123">
        <v>332</v>
      </c>
      <c r="D240" s="125" t="s">
        <v>213</v>
      </c>
      <c r="E240" s="125" t="s">
        <v>803</v>
      </c>
    </row>
    <row r="241" spans="1:6">
      <c r="A241" s="127"/>
      <c r="B241" s="123">
        <v>333</v>
      </c>
      <c r="C241" s="128" t="s">
        <v>497</v>
      </c>
      <c r="D241" s="126" t="s">
        <v>528</v>
      </c>
      <c r="E241" s="126" t="s">
        <v>544</v>
      </c>
      <c r="F241" s="129"/>
    </row>
    <row r="242" spans="1:6">
      <c r="A242" s="127"/>
      <c r="B242" s="123">
        <v>334</v>
      </c>
      <c r="C242" s="128" t="s">
        <v>497</v>
      </c>
      <c r="D242" s="126" t="s">
        <v>529</v>
      </c>
      <c r="E242" s="126" t="s">
        <v>804</v>
      </c>
      <c r="F242" s="129"/>
    </row>
    <row r="243" spans="1:6">
      <c r="A243" s="127"/>
      <c r="B243" s="123">
        <v>335</v>
      </c>
      <c r="C243" s="128" t="s">
        <v>514</v>
      </c>
      <c r="D243" s="126" t="s">
        <v>530</v>
      </c>
      <c r="E243" s="126" t="s">
        <v>805</v>
      </c>
      <c r="F243" s="129"/>
    </row>
    <row r="244" spans="1:6">
      <c r="B244" s="123">
        <v>336</v>
      </c>
      <c r="D244" s="125" t="s">
        <v>214</v>
      </c>
      <c r="E244" s="125" t="s">
        <v>544</v>
      </c>
    </row>
    <row r="245" spans="1:6">
      <c r="B245" s="123">
        <v>337</v>
      </c>
      <c r="D245" s="125" t="s">
        <v>215</v>
      </c>
      <c r="E245" s="126" t="s">
        <v>806</v>
      </c>
    </row>
    <row r="246" spans="1:6">
      <c r="B246" s="123">
        <v>338</v>
      </c>
      <c r="D246" s="125" t="s">
        <v>216</v>
      </c>
      <c r="E246" s="125" t="s">
        <v>807</v>
      </c>
    </row>
    <row r="247" spans="1:6">
      <c r="B247" s="123">
        <v>339</v>
      </c>
      <c r="D247" s="125" t="s">
        <v>217</v>
      </c>
      <c r="E247" s="125" t="s">
        <v>808</v>
      </c>
    </row>
    <row r="248" spans="1:6">
      <c r="B248" s="123">
        <v>340</v>
      </c>
      <c r="D248" s="125" t="s">
        <v>218</v>
      </c>
      <c r="E248" s="125" t="s">
        <v>809</v>
      </c>
    </row>
    <row r="249" spans="1:6">
      <c r="B249" s="123">
        <v>341</v>
      </c>
      <c r="D249" s="125" t="s">
        <v>219</v>
      </c>
      <c r="E249" s="125" t="s">
        <v>810</v>
      </c>
    </row>
    <row r="250" spans="1:6">
      <c r="B250" s="123">
        <v>342</v>
      </c>
      <c r="D250" s="125" t="s">
        <v>220</v>
      </c>
      <c r="E250" s="125" t="s">
        <v>811</v>
      </c>
    </row>
    <row r="251" spans="1:6">
      <c r="B251" s="123">
        <v>343</v>
      </c>
      <c r="D251" s="125" t="s">
        <v>221</v>
      </c>
      <c r="E251" s="125" t="s">
        <v>812</v>
      </c>
    </row>
    <row r="252" spans="1:6">
      <c r="B252" s="123">
        <v>344</v>
      </c>
      <c r="D252" s="125" t="s">
        <v>222</v>
      </c>
      <c r="E252" s="125" t="s">
        <v>813</v>
      </c>
    </row>
    <row r="253" spans="1:6">
      <c r="B253" s="123">
        <v>345</v>
      </c>
      <c r="D253" s="125" t="s">
        <v>223</v>
      </c>
      <c r="E253" s="125" t="s">
        <v>814</v>
      </c>
    </row>
    <row r="254" spans="1:6">
      <c r="B254" s="123">
        <v>346</v>
      </c>
      <c r="D254" s="125" t="s">
        <v>224</v>
      </c>
      <c r="E254" s="125" t="s">
        <v>815</v>
      </c>
    </row>
    <row r="255" spans="1:6">
      <c r="B255" s="123">
        <v>347</v>
      </c>
      <c r="D255" s="125" t="s">
        <v>225</v>
      </c>
      <c r="E255" s="125" t="s">
        <v>816</v>
      </c>
    </row>
    <row r="256" spans="1:6">
      <c r="B256" s="123">
        <v>348</v>
      </c>
      <c r="D256" s="125" t="s">
        <v>226</v>
      </c>
      <c r="E256" s="125" t="s">
        <v>817</v>
      </c>
    </row>
    <row r="257" spans="2:5">
      <c r="B257" s="123">
        <v>349</v>
      </c>
      <c r="D257" s="125" t="s">
        <v>227</v>
      </c>
      <c r="E257" s="125" t="s">
        <v>818</v>
      </c>
    </row>
    <row r="258" spans="2:5">
      <c r="B258" s="123">
        <v>350</v>
      </c>
      <c r="D258" s="125" t="s">
        <v>228</v>
      </c>
      <c r="E258" s="125" t="s">
        <v>1038</v>
      </c>
    </row>
    <row r="259" spans="2:5">
      <c r="B259" s="123">
        <v>351</v>
      </c>
      <c r="D259" s="125" t="s">
        <v>229</v>
      </c>
      <c r="E259" s="125" t="s">
        <v>819</v>
      </c>
    </row>
    <row r="260" spans="2:5">
      <c r="B260" s="123">
        <v>352</v>
      </c>
      <c r="D260" s="125" t="s">
        <v>230</v>
      </c>
      <c r="E260" s="125" t="s">
        <v>820</v>
      </c>
    </row>
    <row r="261" spans="2:5">
      <c r="B261" s="123">
        <v>353</v>
      </c>
      <c r="D261" s="125" t="s">
        <v>231</v>
      </c>
      <c r="E261" s="125" t="s">
        <v>821</v>
      </c>
    </row>
    <row r="262" spans="2:5">
      <c r="B262" s="123">
        <v>354</v>
      </c>
      <c r="D262" s="125" t="s">
        <v>232</v>
      </c>
      <c r="E262" s="125" t="s">
        <v>1061</v>
      </c>
    </row>
    <row r="263" spans="2:5">
      <c r="B263" s="123">
        <v>355</v>
      </c>
      <c r="D263" s="125" t="s">
        <v>233</v>
      </c>
      <c r="E263" s="125" t="s">
        <v>1062</v>
      </c>
    </row>
    <row r="264" spans="2:5">
      <c r="B264" s="123">
        <v>356</v>
      </c>
      <c r="D264" s="125" t="s">
        <v>474</v>
      </c>
      <c r="E264" s="125" t="s">
        <v>474</v>
      </c>
    </row>
    <row r="265" spans="2:5">
      <c r="B265" s="123">
        <v>357</v>
      </c>
      <c r="D265" s="125" t="s">
        <v>234</v>
      </c>
      <c r="E265" s="125" t="s">
        <v>1039</v>
      </c>
    </row>
    <row r="266" spans="2:5" ht="26.4">
      <c r="B266" s="123">
        <v>358</v>
      </c>
      <c r="D266" s="125" t="s">
        <v>235</v>
      </c>
      <c r="E266" s="125" t="s">
        <v>822</v>
      </c>
    </row>
    <row r="267" spans="2:5">
      <c r="B267" s="123">
        <v>359</v>
      </c>
      <c r="D267" s="125" t="s">
        <v>236</v>
      </c>
      <c r="E267" s="125" t="s">
        <v>823</v>
      </c>
    </row>
    <row r="268" spans="2:5">
      <c r="B268" s="123">
        <v>360</v>
      </c>
      <c r="D268" s="125" t="s">
        <v>237</v>
      </c>
      <c r="E268" s="125" t="s">
        <v>824</v>
      </c>
    </row>
    <row r="269" spans="2:5">
      <c r="B269" s="123">
        <v>361</v>
      </c>
      <c r="D269" s="126" t="s">
        <v>531</v>
      </c>
      <c r="E269" s="125" t="s">
        <v>532</v>
      </c>
    </row>
    <row r="270" spans="2:5">
      <c r="B270" s="123">
        <v>362</v>
      </c>
      <c r="D270" s="125" t="s">
        <v>475</v>
      </c>
      <c r="E270" s="125" t="s">
        <v>825</v>
      </c>
    </row>
    <row r="271" spans="2:5">
      <c r="B271" s="123">
        <v>363</v>
      </c>
      <c r="D271" s="125" t="s">
        <v>238</v>
      </c>
      <c r="E271" s="125" t="s">
        <v>826</v>
      </c>
    </row>
    <row r="272" spans="2:5">
      <c r="B272" s="123">
        <v>364</v>
      </c>
      <c r="D272" s="125" t="s">
        <v>476</v>
      </c>
      <c r="E272" s="125" t="s">
        <v>992</v>
      </c>
    </row>
    <row r="273" spans="2:5">
      <c r="B273" s="123">
        <v>365</v>
      </c>
      <c r="D273" s="125" t="s">
        <v>239</v>
      </c>
      <c r="E273" s="125" t="s">
        <v>827</v>
      </c>
    </row>
    <row r="274" spans="2:5">
      <c r="B274" s="123">
        <v>366</v>
      </c>
      <c r="D274" s="125" t="s">
        <v>240</v>
      </c>
      <c r="E274" s="125" t="s">
        <v>828</v>
      </c>
    </row>
    <row r="275" spans="2:5">
      <c r="B275" s="123">
        <v>367</v>
      </c>
      <c r="D275" s="125" t="s">
        <v>241</v>
      </c>
      <c r="E275" s="125" t="s">
        <v>585</v>
      </c>
    </row>
    <row r="276" spans="2:5">
      <c r="B276" s="123">
        <v>368</v>
      </c>
      <c r="D276" s="125" t="s">
        <v>242</v>
      </c>
      <c r="E276" s="125" t="s">
        <v>829</v>
      </c>
    </row>
    <row r="277" spans="2:5">
      <c r="B277" s="123">
        <v>369</v>
      </c>
      <c r="D277" s="125" t="s">
        <v>243</v>
      </c>
      <c r="E277" s="125" t="s">
        <v>830</v>
      </c>
    </row>
    <row r="278" spans="2:5">
      <c r="B278" s="123">
        <v>370</v>
      </c>
      <c r="D278" s="125" t="s">
        <v>244</v>
      </c>
    </row>
    <row r="279" spans="2:5">
      <c r="B279" s="123">
        <v>371</v>
      </c>
      <c r="D279" s="125" t="s">
        <v>477</v>
      </c>
      <c r="E279" s="125" t="s">
        <v>831</v>
      </c>
    </row>
    <row r="280" spans="2:5" ht="26.4">
      <c r="B280" s="123">
        <v>372</v>
      </c>
      <c r="D280" s="125" t="s">
        <v>478</v>
      </c>
      <c r="E280" s="125" t="s">
        <v>832</v>
      </c>
    </row>
    <row r="281" spans="2:5" ht="26.4">
      <c r="B281" s="123">
        <v>373</v>
      </c>
      <c r="D281" s="125" t="s">
        <v>245</v>
      </c>
      <c r="E281" s="125" t="s">
        <v>833</v>
      </c>
    </row>
    <row r="282" spans="2:5">
      <c r="B282" s="123">
        <v>374</v>
      </c>
      <c r="D282" s="125" t="s">
        <v>246</v>
      </c>
      <c r="E282" s="125" t="s">
        <v>834</v>
      </c>
    </row>
    <row r="283" spans="2:5">
      <c r="B283" s="123">
        <v>375</v>
      </c>
      <c r="D283" s="125" t="s">
        <v>247</v>
      </c>
      <c r="E283" s="125" t="s">
        <v>835</v>
      </c>
    </row>
    <row r="284" spans="2:5">
      <c r="B284" s="123">
        <v>376</v>
      </c>
      <c r="D284" s="125" t="s">
        <v>248</v>
      </c>
      <c r="E284" s="125" t="s">
        <v>836</v>
      </c>
    </row>
    <row r="285" spans="2:5">
      <c r="B285" s="123">
        <v>377</v>
      </c>
      <c r="D285" s="125" t="s">
        <v>249</v>
      </c>
      <c r="E285" s="125" t="s">
        <v>837</v>
      </c>
    </row>
    <row r="286" spans="2:5">
      <c r="B286" s="123">
        <v>378</v>
      </c>
      <c r="D286" s="125" t="s">
        <v>250</v>
      </c>
      <c r="E286" s="125" t="s">
        <v>838</v>
      </c>
    </row>
    <row r="287" spans="2:5">
      <c r="B287" s="123">
        <v>379</v>
      </c>
      <c r="D287" s="125" t="s">
        <v>251</v>
      </c>
      <c r="E287" s="125" t="s">
        <v>839</v>
      </c>
    </row>
    <row r="288" spans="2:5">
      <c r="B288" s="123">
        <v>380</v>
      </c>
      <c r="D288" s="125" t="s">
        <v>252</v>
      </c>
      <c r="E288" s="125" t="s">
        <v>840</v>
      </c>
    </row>
    <row r="289" spans="2:5">
      <c r="B289" s="123">
        <v>381</v>
      </c>
      <c r="D289" s="125" t="s">
        <v>253</v>
      </c>
      <c r="E289" s="125" t="s">
        <v>572</v>
      </c>
    </row>
    <row r="290" spans="2:5">
      <c r="B290" s="123">
        <v>382</v>
      </c>
      <c r="D290" s="125" t="s">
        <v>254</v>
      </c>
      <c r="E290" s="125" t="s">
        <v>841</v>
      </c>
    </row>
    <row r="291" spans="2:5">
      <c r="B291" s="123">
        <v>383</v>
      </c>
      <c r="D291" s="125" t="s">
        <v>255</v>
      </c>
      <c r="E291" s="125" t="s">
        <v>842</v>
      </c>
    </row>
    <row r="292" spans="2:5">
      <c r="B292" s="123">
        <v>384</v>
      </c>
      <c r="D292" s="125" t="s">
        <v>256</v>
      </c>
      <c r="E292" s="125" t="s">
        <v>843</v>
      </c>
    </row>
    <row r="293" spans="2:5">
      <c r="B293" s="123">
        <v>385</v>
      </c>
      <c r="D293" s="125" t="s">
        <v>257</v>
      </c>
      <c r="E293" s="125" t="s">
        <v>844</v>
      </c>
    </row>
    <row r="294" spans="2:5">
      <c r="B294" s="123">
        <v>386</v>
      </c>
      <c r="D294" s="125" t="s">
        <v>258</v>
      </c>
      <c r="E294" s="125" t="s">
        <v>845</v>
      </c>
    </row>
    <row r="295" spans="2:5">
      <c r="B295" s="123">
        <v>387</v>
      </c>
      <c r="D295" s="125" t="s">
        <v>259</v>
      </c>
      <c r="E295" s="125" t="s">
        <v>846</v>
      </c>
    </row>
    <row r="296" spans="2:5">
      <c r="B296" s="123">
        <v>388</v>
      </c>
      <c r="D296" s="125" t="s">
        <v>260</v>
      </c>
      <c r="E296" s="125" t="s">
        <v>580</v>
      </c>
    </row>
    <row r="297" spans="2:5">
      <c r="B297" s="123">
        <v>389</v>
      </c>
      <c r="D297" s="125" t="s">
        <v>261</v>
      </c>
      <c r="E297" s="125" t="s">
        <v>847</v>
      </c>
    </row>
    <row r="298" spans="2:5">
      <c r="B298" s="123">
        <v>390</v>
      </c>
      <c r="D298" s="125" t="s">
        <v>262</v>
      </c>
      <c r="E298" s="125" t="s">
        <v>848</v>
      </c>
    </row>
    <row r="299" spans="2:5" ht="39.6">
      <c r="B299" s="123">
        <v>391</v>
      </c>
      <c r="D299" s="125" t="s">
        <v>263</v>
      </c>
      <c r="E299" s="125" t="s">
        <v>849</v>
      </c>
    </row>
    <row r="300" spans="2:5">
      <c r="B300" s="123">
        <v>392</v>
      </c>
      <c r="D300" s="125" t="s">
        <v>264</v>
      </c>
      <c r="E300" s="125" t="s">
        <v>850</v>
      </c>
    </row>
    <row r="301" spans="2:5" ht="26.4">
      <c r="B301" s="123">
        <v>393</v>
      </c>
      <c r="D301" s="125" t="s">
        <v>265</v>
      </c>
      <c r="E301" s="125" t="s">
        <v>851</v>
      </c>
    </row>
    <row r="302" spans="2:5">
      <c r="B302" s="123">
        <v>394</v>
      </c>
      <c r="D302" s="125" t="s">
        <v>266</v>
      </c>
      <c r="E302" s="125" t="s">
        <v>852</v>
      </c>
    </row>
    <row r="303" spans="2:5" ht="26.4">
      <c r="B303" s="123">
        <v>395</v>
      </c>
      <c r="D303" s="125" t="s">
        <v>267</v>
      </c>
      <c r="E303" s="125" t="s">
        <v>853</v>
      </c>
    </row>
    <row r="304" spans="2:5" ht="26.4">
      <c r="B304" s="123">
        <v>396</v>
      </c>
      <c r="D304" s="125" t="s">
        <v>268</v>
      </c>
      <c r="E304" s="125" t="s">
        <v>854</v>
      </c>
    </row>
    <row r="305" spans="2:5" ht="26.4">
      <c r="B305" s="123">
        <v>397</v>
      </c>
      <c r="D305" s="125" t="s">
        <v>269</v>
      </c>
      <c r="E305" s="125" t="s">
        <v>855</v>
      </c>
    </row>
    <row r="306" spans="2:5" ht="26.4">
      <c r="B306" s="123">
        <v>398</v>
      </c>
      <c r="D306" s="125" t="s">
        <v>270</v>
      </c>
      <c r="E306" s="125" t="s">
        <v>856</v>
      </c>
    </row>
    <row r="307" spans="2:5" ht="26.4">
      <c r="B307" s="123">
        <v>399</v>
      </c>
      <c r="D307" s="125" t="s">
        <v>271</v>
      </c>
      <c r="E307" s="125" t="s">
        <v>857</v>
      </c>
    </row>
    <row r="308" spans="2:5" ht="26.4">
      <c r="B308" s="123">
        <v>400</v>
      </c>
      <c r="D308" s="125" t="s">
        <v>272</v>
      </c>
      <c r="E308" s="125" t="s">
        <v>858</v>
      </c>
    </row>
    <row r="309" spans="2:5" ht="26.4">
      <c r="B309" s="123">
        <v>401</v>
      </c>
      <c r="D309" s="125" t="s">
        <v>273</v>
      </c>
      <c r="E309" s="125" t="s">
        <v>859</v>
      </c>
    </row>
    <row r="310" spans="2:5" ht="26.4">
      <c r="B310" s="123">
        <v>402</v>
      </c>
      <c r="D310" s="125" t="s">
        <v>274</v>
      </c>
      <c r="E310" s="125" t="s">
        <v>860</v>
      </c>
    </row>
    <row r="311" spans="2:5" ht="26.4">
      <c r="B311" s="123">
        <v>403</v>
      </c>
      <c r="D311" s="125" t="s">
        <v>275</v>
      </c>
      <c r="E311" s="125" t="s">
        <v>861</v>
      </c>
    </row>
    <row r="312" spans="2:5" ht="26.4">
      <c r="B312" s="123">
        <v>404</v>
      </c>
      <c r="D312" s="125" t="s">
        <v>276</v>
      </c>
      <c r="E312" s="125" t="s">
        <v>862</v>
      </c>
    </row>
    <row r="313" spans="2:5" ht="26.4">
      <c r="B313" s="123">
        <v>405</v>
      </c>
      <c r="D313" s="125" t="s">
        <v>277</v>
      </c>
      <c r="E313" s="125" t="s">
        <v>863</v>
      </c>
    </row>
    <row r="314" spans="2:5" ht="26.4">
      <c r="B314" s="123">
        <v>406</v>
      </c>
      <c r="D314" s="125" t="s">
        <v>278</v>
      </c>
      <c r="E314" s="125" t="s">
        <v>864</v>
      </c>
    </row>
    <row r="315" spans="2:5" ht="26.4">
      <c r="B315" s="123">
        <v>407</v>
      </c>
      <c r="D315" s="125" t="s">
        <v>279</v>
      </c>
      <c r="E315" s="125" t="s">
        <v>865</v>
      </c>
    </row>
    <row r="316" spans="2:5" ht="26.4">
      <c r="B316" s="123">
        <v>408</v>
      </c>
      <c r="D316" s="125" t="s">
        <v>280</v>
      </c>
      <c r="E316" s="125" t="s">
        <v>866</v>
      </c>
    </row>
    <row r="317" spans="2:5" ht="26.4">
      <c r="B317" s="123">
        <v>409</v>
      </c>
      <c r="D317" s="125" t="s">
        <v>281</v>
      </c>
      <c r="E317" s="125" t="s">
        <v>867</v>
      </c>
    </row>
    <row r="318" spans="2:5" ht="26.4">
      <c r="B318" s="123">
        <v>410</v>
      </c>
      <c r="D318" s="125" t="s">
        <v>282</v>
      </c>
      <c r="E318" s="125" t="s">
        <v>868</v>
      </c>
    </row>
    <row r="319" spans="2:5" ht="26.4">
      <c r="B319" s="123">
        <v>411</v>
      </c>
      <c r="D319" s="125" t="s">
        <v>283</v>
      </c>
      <c r="E319" s="125" t="s">
        <v>869</v>
      </c>
    </row>
    <row r="320" spans="2:5" ht="26.4">
      <c r="B320" s="123">
        <v>412</v>
      </c>
      <c r="D320" s="125" t="s">
        <v>284</v>
      </c>
      <c r="E320" s="125" t="s">
        <v>870</v>
      </c>
    </row>
    <row r="321" spans="2:5" ht="26.4">
      <c r="B321" s="123">
        <v>413</v>
      </c>
      <c r="D321" s="125" t="s">
        <v>285</v>
      </c>
      <c r="E321" s="125" t="s">
        <v>871</v>
      </c>
    </row>
    <row r="322" spans="2:5">
      <c r="B322" s="123">
        <v>414</v>
      </c>
      <c r="D322" s="125" t="s">
        <v>479</v>
      </c>
      <c r="E322" s="125" t="s">
        <v>872</v>
      </c>
    </row>
    <row r="323" spans="2:5">
      <c r="B323" s="123">
        <v>415</v>
      </c>
      <c r="D323" s="125" t="s">
        <v>480</v>
      </c>
      <c r="E323" s="125" t="s">
        <v>872</v>
      </c>
    </row>
    <row r="324" spans="2:5">
      <c r="B324" s="123">
        <v>416</v>
      </c>
      <c r="D324" s="125" t="s">
        <v>286</v>
      </c>
      <c r="E324" s="125" t="s">
        <v>873</v>
      </c>
    </row>
    <row r="325" spans="2:5" ht="26.4">
      <c r="B325" s="123">
        <v>417</v>
      </c>
      <c r="D325" s="125" t="s">
        <v>287</v>
      </c>
      <c r="E325" s="125" t="s">
        <v>874</v>
      </c>
    </row>
    <row r="326" spans="2:5">
      <c r="B326" s="123">
        <v>418</v>
      </c>
      <c r="D326" s="125" t="s">
        <v>288</v>
      </c>
      <c r="E326" s="125" t="s">
        <v>875</v>
      </c>
    </row>
    <row r="327" spans="2:5" ht="26.4">
      <c r="B327" s="123">
        <v>419</v>
      </c>
      <c r="D327" s="125" t="s">
        <v>289</v>
      </c>
      <c r="E327" s="125" t="s">
        <v>876</v>
      </c>
    </row>
    <row r="328" spans="2:5">
      <c r="B328" s="123">
        <v>420</v>
      </c>
      <c r="D328" s="125" t="s">
        <v>481</v>
      </c>
      <c r="E328" s="125" t="s">
        <v>877</v>
      </c>
    </row>
    <row r="329" spans="2:5" ht="26.4">
      <c r="B329" s="123">
        <v>421</v>
      </c>
      <c r="D329" s="125" t="s">
        <v>482</v>
      </c>
      <c r="E329" s="125" t="s">
        <v>878</v>
      </c>
    </row>
    <row r="330" spans="2:5">
      <c r="B330" s="123">
        <v>422</v>
      </c>
      <c r="D330" s="125" t="s">
        <v>290</v>
      </c>
      <c r="E330" s="125" t="s">
        <v>879</v>
      </c>
    </row>
    <row r="331" spans="2:5" ht="26.4">
      <c r="B331" s="123">
        <v>423</v>
      </c>
      <c r="D331" s="125" t="s">
        <v>291</v>
      </c>
      <c r="E331" s="125" t="s">
        <v>880</v>
      </c>
    </row>
    <row r="332" spans="2:5">
      <c r="B332" s="123">
        <v>424</v>
      </c>
      <c r="D332" s="125" t="s">
        <v>292</v>
      </c>
      <c r="E332" s="125" t="s">
        <v>881</v>
      </c>
    </row>
    <row r="333" spans="2:5" ht="39.6">
      <c r="B333" s="123">
        <v>425</v>
      </c>
      <c r="D333" s="125" t="s">
        <v>293</v>
      </c>
      <c r="E333" s="125" t="s">
        <v>882</v>
      </c>
    </row>
    <row r="334" spans="2:5">
      <c r="B334" s="123">
        <v>426</v>
      </c>
      <c r="D334" s="125" t="s">
        <v>294</v>
      </c>
      <c r="E334" s="125" t="s">
        <v>883</v>
      </c>
    </row>
    <row r="335" spans="2:5" ht="26.4">
      <c r="B335" s="123">
        <v>427</v>
      </c>
      <c r="D335" s="125" t="s">
        <v>295</v>
      </c>
      <c r="E335" s="125" t="s">
        <v>884</v>
      </c>
    </row>
    <row r="336" spans="2:5" ht="26.4">
      <c r="B336" s="123">
        <v>428</v>
      </c>
      <c r="D336" s="125" t="s">
        <v>296</v>
      </c>
      <c r="E336" s="125" t="s">
        <v>885</v>
      </c>
    </row>
    <row r="337" spans="1:6" ht="26.4">
      <c r="B337" s="123">
        <v>429</v>
      </c>
      <c r="D337" s="125" t="s">
        <v>297</v>
      </c>
      <c r="E337" s="125" t="s">
        <v>886</v>
      </c>
    </row>
    <row r="338" spans="1:6">
      <c r="B338" s="123">
        <v>430</v>
      </c>
      <c r="D338" s="125" t="s">
        <v>298</v>
      </c>
      <c r="E338" s="125" t="s">
        <v>887</v>
      </c>
    </row>
    <row r="339" spans="1:6">
      <c r="B339" s="123">
        <v>431</v>
      </c>
      <c r="D339" s="125" t="s">
        <v>299</v>
      </c>
      <c r="E339" s="125" t="s">
        <v>888</v>
      </c>
    </row>
    <row r="340" spans="1:6">
      <c r="B340" s="123">
        <v>432</v>
      </c>
      <c r="D340" s="125" t="s">
        <v>300</v>
      </c>
      <c r="E340" s="125" t="s">
        <v>889</v>
      </c>
    </row>
    <row r="341" spans="1:6">
      <c r="B341" s="123">
        <v>433</v>
      </c>
      <c r="D341" s="125" t="s">
        <v>301</v>
      </c>
      <c r="E341" s="125" t="s">
        <v>890</v>
      </c>
    </row>
    <row r="342" spans="1:6">
      <c r="B342" s="123">
        <v>434</v>
      </c>
      <c r="D342" s="125" t="s">
        <v>302</v>
      </c>
      <c r="E342" s="125" t="s">
        <v>891</v>
      </c>
    </row>
    <row r="343" spans="1:6">
      <c r="B343" s="123">
        <v>435</v>
      </c>
      <c r="D343" s="125" t="s">
        <v>303</v>
      </c>
      <c r="E343" s="125" t="s">
        <v>892</v>
      </c>
    </row>
    <row r="344" spans="1:6">
      <c r="B344" s="123">
        <v>436</v>
      </c>
      <c r="D344" s="125" t="s">
        <v>483</v>
      </c>
      <c r="E344" s="125" t="s">
        <v>893</v>
      </c>
    </row>
    <row r="345" spans="1:6" ht="39.6">
      <c r="A345" s="126"/>
      <c r="B345" s="123">
        <v>437</v>
      </c>
      <c r="C345" s="133" t="s">
        <v>516</v>
      </c>
      <c r="D345" s="126" t="s">
        <v>533</v>
      </c>
      <c r="E345" s="126" t="s">
        <v>894</v>
      </c>
      <c r="F345" s="129"/>
    </row>
    <row r="346" spans="1:6" ht="39.6">
      <c r="B346" s="123">
        <v>438</v>
      </c>
      <c r="D346" s="125" t="s">
        <v>304</v>
      </c>
      <c r="E346" s="125" t="s">
        <v>895</v>
      </c>
    </row>
    <row r="347" spans="1:6">
      <c r="B347" s="123">
        <v>439</v>
      </c>
      <c r="D347" s="125" t="s">
        <v>305</v>
      </c>
      <c r="E347" s="125" t="s">
        <v>896</v>
      </c>
    </row>
    <row r="348" spans="1:6">
      <c r="B348" s="123">
        <v>440</v>
      </c>
      <c r="D348" s="125" t="s">
        <v>306</v>
      </c>
      <c r="E348" s="125" t="s">
        <v>897</v>
      </c>
    </row>
    <row r="349" spans="1:6">
      <c r="B349" s="123">
        <v>441</v>
      </c>
      <c r="D349" s="125" t="s">
        <v>307</v>
      </c>
      <c r="E349" s="125" t="s">
        <v>898</v>
      </c>
    </row>
    <row r="350" spans="1:6" ht="26.4">
      <c r="B350" s="123">
        <v>442</v>
      </c>
      <c r="D350" s="125" t="s">
        <v>1016</v>
      </c>
      <c r="E350" s="125" t="s">
        <v>1017</v>
      </c>
    </row>
    <row r="351" spans="1:6">
      <c r="B351" s="123">
        <v>443</v>
      </c>
      <c r="D351" s="125" t="s">
        <v>308</v>
      </c>
      <c r="E351" s="125" t="s">
        <v>899</v>
      </c>
    </row>
    <row r="352" spans="1:6">
      <c r="B352" s="123">
        <v>444</v>
      </c>
      <c r="D352" s="125" t="s">
        <v>309</v>
      </c>
      <c r="E352" s="125" t="s">
        <v>900</v>
      </c>
    </row>
    <row r="353" spans="2:5">
      <c r="B353" s="123">
        <v>445</v>
      </c>
      <c r="D353" s="125" t="s">
        <v>310</v>
      </c>
      <c r="E353" s="125" t="s">
        <v>901</v>
      </c>
    </row>
    <row r="354" spans="2:5">
      <c r="B354" s="123">
        <v>446</v>
      </c>
      <c r="D354" s="125" t="s">
        <v>311</v>
      </c>
      <c r="E354" s="125" t="s">
        <v>902</v>
      </c>
    </row>
    <row r="355" spans="2:5">
      <c r="B355" s="123">
        <v>447</v>
      </c>
      <c r="D355" s="125" t="s">
        <v>484</v>
      </c>
      <c r="E355" s="125" t="s">
        <v>903</v>
      </c>
    </row>
    <row r="356" spans="2:5">
      <c r="B356" s="123">
        <v>448</v>
      </c>
      <c r="D356" s="125" t="s">
        <v>312</v>
      </c>
      <c r="E356" s="125" t="s">
        <v>904</v>
      </c>
    </row>
    <row r="357" spans="2:5">
      <c r="B357" s="123">
        <v>449</v>
      </c>
      <c r="D357" s="125" t="s">
        <v>485</v>
      </c>
      <c r="E357" s="125" t="s">
        <v>905</v>
      </c>
    </row>
    <row r="358" spans="2:5" ht="26.4">
      <c r="B358" s="123">
        <v>450</v>
      </c>
      <c r="D358" s="125" t="s">
        <v>313</v>
      </c>
      <c r="E358" s="125" t="s">
        <v>906</v>
      </c>
    </row>
    <row r="359" spans="2:5">
      <c r="B359" s="123">
        <v>451</v>
      </c>
      <c r="D359" s="125" t="s">
        <v>314</v>
      </c>
      <c r="E359" s="125" t="s">
        <v>907</v>
      </c>
    </row>
    <row r="360" spans="2:5">
      <c r="B360" s="123">
        <v>452</v>
      </c>
      <c r="D360" s="125" t="s">
        <v>315</v>
      </c>
      <c r="E360" s="125" t="s">
        <v>908</v>
      </c>
    </row>
    <row r="361" spans="2:5">
      <c r="B361" s="123">
        <v>453</v>
      </c>
      <c r="D361" s="125" t="s">
        <v>316</v>
      </c>
      <c r="E361" s="125" t="s">
        <v>909</v>
      </c>
    </row>
    <row r="362" spans="2:5" ht="39.6">
      <c r="B362" s="123">
        <v>454</v>
      </c>
      <c r="D362" s="125" t="s">
        <v>383</v>
      </c>
      <c r="E362" s="125" t="s">
        <v>910</v>
      </c>
    </row>
    <row r="363" spans="2:5">
      <c r="B363" s="123">
        <v>455</v>
      </c>
      <c r="D363" s="125" t="s">
        <v>317</v>
      </c>
      <c r="E363" s="125" t="s">
        <v>911</v>
      </c>
    </row>
    <row r="364" spans="2:5">
      <c r="B364" s="123">
        <v>456</v>
      </c>
      <c r="D364" s="125" t="s">
        <v>318</v>
      </c>
      <c r="E364" s="125" t="s">
        <v>912</v>
      </c>
    </row>
    <row r="365" spans="2:5">
      <c r="B365" s="123">
        <v>457</v>
      </c>
      <c r="D365" s="125" t="s">
        <v>319</v>
      </c>
      <c r="E365" s="125" t="s">
        <v>913</v>
      </c>
    </row>
    <row r="366" spans="2:5">
      <c r="B366" s="123">
        <v>458</v>
      </c>
      <c r="D366" s="125" t="s">
        <v>320</v>
      </c>
      <c r="E366" s="125" t="s">
        <v>914</v>
      </c>
    </row>
    <row r="367" spans="2:5">
      <c r="B367" s="123">
        <v>459</v>
      </c>
      <c r="D367" s="125" t="s">
        <v>321</v>
      </c>
      <c r="E367" s="125" t="s">
        <v>915</v>
      </c>
    </row>
    <row r="368" spans="2:5" ht="26.4">
      <c r="B368" s="123">
        <v>460</v>
      </c>
      <c r="D368" s="125" t="s">
        <v>322</v>
      </c>
      <c r="E368" s="125" t="s">
        <v>916</v>
      </c>
    </row>
    <row r="369" spans="1:6">
      <c r="B369" s="123">
        <v>461</v>
      </c>
      <c r="D369" s="125" t="s">
        <v>323</v>
      </c>
      <c r="E369" s="125" t="s">
        <v>917</v>
      </c>
    </row>
    <row r="370" spans="1:6">
      <c r="B370" s="123">
        <v>462</v>
      </c>
      <c r="D370" s="125" t="s">
        <v>324</v>
      </c>
      <c r="E370" s="125" t="s">
        <v>918</v>
      </c>
    </row>
    <row r="371" spans="1:6">
      <c r="B371" s="123">
        <v>463</v>
      </c>
      <c r="D371" s="125" t="s">
        <v>325</v>
      </c>
      <c r="E371" s="125" t="s">
        <v>919</v>
      </c>
    </row>
    <row r="372" spans="1:6" ht="26.4">
      <c r="B372" s="123">
        <v>464</v>
      </c>
      <c r="D372" s="125" t="s">
        <v>486</v>
      </c>
      <c r="E372" s="125" t="s">
        <v>920</v>
      </c>
    </row>
    <row r="373" spans="1:6">
      <c r="B373" s="123">
        <v>465</v>
      </c>
      <c r="D373" s="125" t="s">
        <v>326</v>
      </c>
      <c r="E373" s="125" t="s">
        <v>921</v>
      </c>
    </row>
    <row r="374" spans="1:6">
      <c r="B374" s="123">
        <v>466</v>
      </c>
      <c r="D374" s="125" t="s">
        <v>327</v>
      </c>
      <c r="E374" s="125" t="s">
        <v>922</v>
      </c>
    </row>
    <row r="375" spans="1:6">
      <c r="B375" s="123">
        <v>467</v>
      </c>
      <c r="D375" s="125" t="s">
        <v>328</v>
      </c>
      <c r="E375" s="125" t="s">
        <v>923</v>
      </c>
    </row>
    <row r="376" spans="1:6">
      <c r="B376" s="123">
        <v>468</v>
      </c>
      <c r="D376" s="125" t="s">
        <v>487</v>
      </c>
      <c r="E376" s="125" t="s">
        <v>924</v>
      </c>
    </row>
    <row r="377" spans="1:6" ht="26.4">
      <c r="B377" s="123">
        <v>469</v>
      </c>
      <c r="D377" s="125" t="s">
        <v>488</v>
      </c>
      <c r="E377" s="125" t="s">
        <v>925</v>
      </c>
    </row>
    <row r="378" spans="1:6">
      <c r="B378" s="123">
        <v>470</v>
      </c>
      <c r="D378" s="125" t="s">
        <v>329</v>
      </c>
      <c r="E378" s="125" t="s">
        <v>926</v>
      </c>
    </row>
    <row r="379" spans="1:6">
      <c r="B379" s="123">
        <v>471</v>
      </c>
      <c r="D379" s="125" t="s">
        <v>330</v>
      </c>
      <c r="E379" s="125" t="s">
        <v>927</v>
      </c>
    </row>
    <row r="380" spans="1:6">
      <c r="B380" s="123">
        <v>472</v>
      </c>
      <c r="D380" s="125" t="s">
        <v>331</v>
      </c>
      <c r="E380" s="125" t="s">
        <v>928</v>
      </c>
    </row>
    <row r="381" spans="1:6" ht="39.6">
      <c r="B381" s="123">
        <v>473</v>
      </c>
      <c r="D381" s="125" t="s">
        <v>332</v>
      </c>
      <c r="E381" s="125" t="s">
        <v>929</v>
      </c>
    </row>
    <row r="382" spans="1:6">
      <c r="B382" s="123">
        <v>474</v>
      </c>
      <c r="D382" s="125" t="s">
        <v>333</v>
      </c>
      <c r="E382" s="125" t="s">
        <v>930</v>
      </c>
    </row>
    <row r="383" spans="1:6">
      <c r="A383" s="127"/>
      <c r="B383" s="123">
        <v>475</v>
      </c>
      <c r="C383" s="128" t="s">
        <v>497</v>
      </c>
      <c r="D383" s="126" t="s">
        <v>503</v>
      </c>
      <c r="E383" s="126" t="s">
        <v>931</v>
      </c>
      <c r="F383" s="129"/>
    </row>
    <row r="384" spans="1:6">
      <c r="A384" s="127"/>
      <c r="B384" s="123">
        <v>476</v>
      </c>
      <c r="C384" s="128" t="s">
        <v>497</v>
      </c>
      <c r="D384" s="126" t="s">
        <v>534</v>
      </c>
      <c r="E384" s="126" t="s">
        <v>932</v>
      </c>
      <c r="F384" s="129"/>
    </row>
    <row r="385" spans="2:5">
      <c r="B385" s="123">
        <v>477</v>
      </c>
      <c r="D385" s="125" t="s">
        <v>334</v>
      </c>
      <c r="E385" s="126" t="s">
        <v>933</v>
      </c>
    </row>
    <row r="386" spans="2:5">
      <c r="B386" s="123">
        <v>478</v>
      </c>
      <c r="D386" s="125" t="s">
        <v>335</v>
      </c>
      <c r="E386" s="125" t="s">
        <v>934</v>
      </c>
    </row>
    <row r="387" spans="2:5">
      <c r="B387" s="123">
        <v>479</v>
      </c>
      <c r="D387" s="125" t="s">
        <v>336</v>
      </c>
      <c r="E387" s="125" t="s">
        <v>935</v>
      </c>
    </row>
    <row r="388" spans="2:5" ht="26.4">
      <c r="B388" s="123">
        <v>480</v>
      </c>
      <c r="D388" s="125" t="s">
        <v>337</v>
      </c>
      <c r="E388" s="125" t="s">
        <v>936</v>
      </c>
    </row>
    <row r="389" spans="2:5">
      <c r="B389" s="123">
        <v>481</v>
      </c>
      <c r="D389" s="125" t="s">
        <v>338</v>
      </c>
      <c r="E389" s="125" t="s">
        <v>937</v>
      </c>
    </row>
    <row r="390" spans="2:5" ht="26.4">
      <c r="B390" s="123">
        <v>482</v>
      </c>
      <c r="D390" s="125" t="s">
        <v>339</v>
      </c>
      <c r="E390" s="125" t="s">
        <v>938</v>
      </c>
    </row>
    <row r="391" spans="2:5">
      <c r="B391" s="123">
        <v>483</v>
      </c>
      <c r="D391" s="125" t="s">
        <v>340</v>
      </c>
      <c r="E391" s="125" t="s">
        <v>1037</v>
      </c>
    </row>
    <row r="392" spans="2:5">
      <c r="B392" s="123">
        <v>484</v>
      </c>
      <c r="D392" s="125" t="s">
        <v>341</v>
      </c>
      <c r="E392" s="125" t="s">
        <v>939</v>
      </c>
    </row>
    <row r="393" spans="2:5">
      <c r="B393" s="123">
        <v>485</v>
      </c>
      <c r="D393" s="125" t="s">
        <v>342</v>
      </c>
      <c r="E393" s="125" t="s">
        <v>940</v>
      </c>
    </row>
    <row r="394" spans="2:5">
      <c r="B394" s="123">
        <v>486</v>
      </c>
      <c r="D394" s="125" t="s">
        <v>343</v>
      </c>
      <c r="E394" s="125" t="s">
        <v>941</v>
      </c>
    </row>
    <row r="395" spans="2:5">
      <c r="B395" s="123">
        <v>487</v>
      </c>
      <c r="D395" s="125" t="s">
        <v>344</v>
      </c>
      <c r="E395" s="125" t="s">
        <v>942</v>
      </c>
    </row>
    <row r="396" spans="2:5">
      <c r="B396" s="123">
        <v>488</v>
      </c>
      <c r="D396" s="125" t="s">
        <v>345</v>
      </c>
      <c r="E396" s="125" t="s">
        <v>943</v>
      </c>
    </row>
    <row r="397" spans="2:5">
      <c r="B397" s="123">
        <v>489</v>
      </c>
      <c r="D397" s="125" t="s">
        <v>346</v>
      </c>
      <c r="E397" s="125" t="s">
        <v>346</v>
      </c>
    </row>
    <row r="398" spans="2:5">
      <c r="B398" s="123">
        <v>490</v>
      </c>
      <c r="D398" s="125" t="s">
        <v>489</v>
      </c>
      <c r="E398" s="125" t="s">
        <v>944</v>
      </c>
    </row>
    <row r="399" spans="2:5">
      <c r="B399" s="123">
        <v>491</v>
      </c>
      <c r="D399" s="125" t="s">
        <v>347</v>
      </c>
      <c r="E399" s="125" t="s">
        <v>945</v>
      </c>
    </row>
    <row r="400" spans="2:5">
      <c r="B400" s="123">
        <v>492</v>
      </c>
      <c r="D400" s="125" t="s">
        <v>348</v>
      </c>
      <c r="E400" s="125" t="s">
        <v>348</v>
      </c>
    </row>
    <row r="401" spans="2:5">
      <c r="B401" s="123">
        <v>493</v>
      </c>
      <c r="D401" s="125" t="s">
        <v>490</v>
      </c>
    </row>
    <row r="402" spans="2:5">
      <c r="B402" s="123">
        <v>494</v>
      </c>
      <c r="D402" s="125" t="s">
        <v>349</v>
      </c>
      <c r="E402" s="125" t="s">
        <v>946</v>
      </c>
    </row>
    <row r="403" spans="2:5">
      <c r="B403" s="123">
        <v>495</v>
      </c>
      <c r="D403" s="125" t="s">
        <v>491</v>
      </c>
      <c r="E403" s="125" t="s">
        <v>947</v>
      </c>
    </row>
    <row r="404" spans="2:5">
      <c r="B404" s="123">
        <v>496</v>
      </c>
      <c r="D404" s="125" t="s">
        <v>492</v>
      </c>
      <c r="E404" s="125" t="s">
        <v>948</v>
      </c>
    </row>
    <row r="405" spans="2:5">
      <c r="B405" s="123">
        <v>497</v>
      </c>
      <c r="D405" s="125" t="s">
        <v>493</v>
      </c>
      <c r="E405" s="125" t="s">
        <v>947</v>
      </c>
    </row>
    <row r="406" spans="2:5">
      <c r="B406" s="123">
        <v>498</v>
      </c>
      <c r="D406" s="125" t="s">
        <v>350</v>
      </c>
      <c r="E406" s="125" t="s">
        <v>541</v>
      </c>
    </row>
    <row r="407" spans="2:5">
      <c r="B407" s="123">
        <v>499</v>
      </c>
      <c r="D407" s="125" t="s">
        <v>351</v>
      </c>
      <c r="E407" s="125" t="s">
        <v>949</v>
      </c>
    </row>
    <row r="408" spans="2:5">
      <c r="B408" s="123">
        <v>500</v>
      </c>
      <c r="D408" s="125" t="s">
        <v>352</v>
      </c>
      <c r="E408" s="125" t="s">
        <v>950</v>
      </c>
    </row>
    <row r="409" spans="2:5">
      <c r="B409" s="123">
        <v>501</v>
      </c>
      <c r="D409" s="125" t="s">
        <v>353</v>
      </c>
      <c r="E409" s="125" t="s">
        <v>951</v>
      </c>
    </row>
    <row r="410" spans="2:5">
      <c r="B410" s="123">
        <v>502</v>
      </c>
      <c r="D410" s="125" t="s">
        <v>354</v>
      </c>
    </row>
    <row r="411" spans="2:5">
      <c r="B411" s="123">
        <v>503</v>
      </c>
      <c r="D411" s="125" t="s">
        <v>355</v>
      </c>
    </row>
    <row r="412" spans="2:5">
      <c r="B412" s="123">
        <v>504</v>
      </c>
      <c r="D412" s="125" t="s">
        <v>356</v>
      </c>
      <c r="E412" s="125" t="s">
        <v>952</v>
      </c>
    </row>
    <row r="413" spans="2:5">
      <c r="B413" s="123">
        <v>505</v>
      </c>
      <c r="D413" s="125" t="s">
        <v>494</v>
      </c>
      <c r="E413" s="125" t="s">
        <v>953</v>
      </c>
    </row>
    <row r="414" spans="2:5">
      <c r="B414" s="123">
        <v>506</v>
      </c>
      <c r="D414" s="125" t="s">
        <v>357</v>
      </c>
      <c r="E414" s="125" t="s">
        <v>954</v>
      </c>
    </row>
    <row r="415" spans="2:5">
      <c r="B415" s="123">
        <v>507</v>
      </c>
      <c r="D415" s="125" t="s">
        <v>420</v>
      </c>
      <c r="E415" s="125" t="s">
        <v>955</v>
      </c>
    </row>
    <row r="416" spans="2:5">
      <c r="B416" s="123">
        <v>508</v>
      </c>
      <c r="D416" s="125" t="s">
        <v>358</v>
      </c>
      <c r="E416" s="125" t="s">
        <v>954</v>
      </c>
    </row>
    <row r="417" spans="1:6" ht="26.4">
      <c r="A417" s="126"/>
      <c r="B417" s="123">
        <v>509</v>
      </c>
      <c r="C417" s="126"/>
      <c r="D417" s="126" t="s">
        <v>535</v>
      </c>
      <c r="E417" s="126" t="s">
        <v>956</v>
      </c>
      <c r="F417" s="129"/>
    </row>
    <row r="418" spans="1:6">
      <c r="B418" s="123">
        <v>510</v>
      </c>
      <c r="D418" s="125" t="s">
        <v>359</v>
      </c>
      <c r="E418" s="125" t="s">
        <v>359</v>
      </c>
    </row>
    <row r="419" spans="1:6">
      <c r="B419" s="123">
        <v>511</v>
      </c>
      <c r="D419" s="125" t="s">
        <v>360</v>
      </c>
      <c r="E419" s="125" t="s">
        <v>957</v>
      </c>
    </row>
    <row r="420" spans="1:6">
      <c r="B420" s="123">
        <v>512</v>
      </c>
      <c r="D420" s="125" t="s">
        <v>361</v>
      </c>
      <c r="E420" s="125" t="s">
        <v>958</v>
      </c>
    </row>
    <row r="421" spans="1:6">
      <c r="B421" s="123">
        <v>513</v>
      </c>
      <c r="D421" s="125" t="s">
        <v>495</v>
      </c>
      <c r="E421" s="125" t="s">
        <v>959</v>
      </c>
    </row>
    <row r="422" spans="1:6">
      <c r="B422" s="123">
        <v>514</v>
      </c>
      <c r="D422" s="125" t="s">
        <v>362</v>
      </c>
      <c r="E422" s="125" t="s">
        <v>960</v>
      </c>
    </row>
    <row r="423" spans="1:6">
      <c r="B423" s="123">
        <v>515</v>
      </c>
      <c r="D423" s="125" t="s">
        <v>363</v>
      </c>
      <c r="E423" s="125" t="s">
        <v>961</v>
      </c>
    </row>
    <row r="424" spans="1:6">
      <c r="B424" s="123">
        <v>516</v>
      </c>
      <c r="D424" s="125" t="s">
        <v>364</v>
      </c>
      <c r="E424" s="125" t="s">
        <v>962</v>
      </c>
    </row>
    <row r="425" spans="1:6">
      <c r="B425" s="123">
        <v>517</v>
      </c>
      <c r="D425" s="125" t="s">
        <v>496</v>
      </c>
      <c r="E425" s="125" t="s">
        <v>963</v>
      </c>
    </row>
    <row r="426" spans="1:6" ht="26.4">
      <c r="B426" s="123">
        <v>518</v>
      </c>
      <c r="D426" s="125" t="s">
        <v>365</v>
      </c>
      <c r="E426" s="125" t="s">
        <v>964</v>
      </c>
    </row>
    <row r="427" spans="1:6">
      <c r="B427" s="123">
        <v>519</v>
      </c>
      <c r="D427" s="125" t="s">
        <v>366</v>
      </c>
      <c r="E427" s="125" t="s">
        <v>962</v>
      </c>
    </row>
    <row r="428" spans="1:6">
      <c r="B428" s="123">
        <v>520</v>
      </c>
      <c r="D428" s="125" t="s">
        <v>367</v>
      </c>
      <c r="E428" s="125" t="s">
        <v>965</v>
      </c>
    </row>
    <row r="429" spans="1:6">
      <c r="B429" s="123">
        <v>521</v>
      </c>
      <c r="D429" s="125" t="s">
        <v>368</v>
      </c>
      <c r="E429" s="125" t="s">
        <v>966</v>
      </c>
    </row>
    <row r="430" spans="1:6">
      <c r="B430" s="123">
        <v>522</v>
      </c>
      <c r="D430" s="125" t="s">
        <v>369</v>
      </c>
      <c r="E430" s="125" t="s">
        <v>967</v>
      </c>
    </row>
    <row r="431" spans="1:6" s="126" customFormat="1">
      <c r="A431" s="122"/>
      <c r="B431" s="123">
        <v>523</v>
      </c>
      <c r="C431" s="124"/>
      <c r="D431" s="125" t="s">
        <v>370</v>
      </c>
      <c r="E431" s="125" t="s">
        <v>968</v>
      </c>
      <c r="F431" s="122"/>
    </row>
    <row r="432" spans="1:6" s="126" customFormat="1">
      <c r="A432" s="122"/>
      <c r="B432" s="123">
        <v>524</v>
      </c>
      <c r="C432" s="124"/>
      <c r="D432" s="125" t="s">
        <v>371</v>
      </c>
      <c r="E432" s="125" t="s">
        <v>969</v>
      </c>
      <c r="F432" s="122"/>
    </row>
    <row r="433" spans="1:6" s="127" customFormat="1">
      <c r="A433" s="122"/>
      <c r="B433" s="123">
        <v>525</v>
      </c>
      <c r="C433" s="124"/>
      <c r="D433" s="125" t="s">
        <v>372</v>
      </c>
      <c r="E433" s="125" t="s">
        <v>961</v>
      </c>
      <c r="F433" s="122"/>
    </row>
    <row r="434" spans="1:6" s="127" customFormat="1" ht="26.4">
      <c r="A434" s="122"/>
      <c r="B434" s="123">
        <v>526</v>
      </c>
      <c r="C434" s="124"/>
      <c r="D434" s="125" t="s">
        <v>373</v>
      </c>
      <c r="E434" s="125" t="s">
        <v>970</v>
      </c>
      <c r="F434" s="122"/>
    </row>
    <row r="435" spans="1:6" s="127" customFormat="1" ht="26.4">
      <c r="A435" s="122"/>
      <c r="B435" s="123">
        <v>527</v>
      </c>
      <c r="C435" s="124"/>
      <c r="D435" s="125" t="s">
        <v>374</v>
      </c>
      <c r="E435" s="125" t="s">
        <v>971</v>
      </c>
      <c r="F435" s="122"/>
    </row>
    <row r="436" spans="1:6" s="127" customFormat="1">
      <c r="A436" s="122"/>
      <c r="B436" s="123">
        <v>528</v>
      </c>
      <c r="C436" s="124"/>
      <c r="D436" s="125" t="s">
        <v>375</v>
      </c>
      <c r="E436" s="125" t="s">
        <v>972</v>
      </c>
      <c r="F436" s="122"/>
    </row>
    <row r="437" spans="1:6" s="127" customFormat="1" ht="26.4">
      <c r="A437" s="122"/>
      <c r="B437" s="123">
        <v>529</v>
      </c>
      <c r="C437" s="124"/>
      <c r="D437" s="125" t="s">
        <v>376</v>
      </c>
      <c r="E437" s="125" t="s">
        <v>973</v>
      </c>
      <c r="F437" s="122"/>
    </row>
    <row r="438" spans="1:6" s="127" customFormat="1">
      <c r="A438" s="122"/>
      <c r="B438" s="123">
        <v>530</v>
      </c>
      <c r="C438" s="124"/>
      <c r="D438" s="125" t="s">
        <v>377</v>
      </c>
      <c r="E438" s="125" t="s">
        <v>974</v>
      </c>
      <c r="F438" s="122"/>
    </row>
    <row r="439" spans="1:6" s="127" customFormat="1">
      <c r="A439" s="122"/>
      <c r="B439" s="123">
        <v>531</v>
      </c>
      <c r="C439" s="124"/>
      <c r="D439" s="125" t="s">
        <v>378</v>
      </c>
      <c r="E439" s="125" t="s">
        <v>975</v>
      </c>
      <c r="F439" s="122"/>
    </row>
    <row r="440" spans="1:6" s="127" customFormat="1">
      <c r="A440" s="122"/>
      <c r="B440" s="123">
        <v>532</v>
      </c>
      <c r="C440" s="124"/>
      <c r="D440" s="125" t="s">
        <v>379</v>
      </c>
      <c r="E440" s="125" t="s">
        <v>976</v>
      </c>
      <c r="F440" s="122"/>
    </row>
    <row r="441" spans="1:6" s="127" customFormat="1">
      <c r="A441" s="122"/>
      <c r="B441" s="123">
        <v>533</v>
      </c>
      <c r="C441" s="124"/>
      <c r="D441" s="125" t="s">
        <v>380</v>
      </c>
      <c r="E441" s="125" t="s">
        <v>977</v>
      </c>
      <c r="F441" s="122"/>
    </row>
    <row r="442" spans="1:6" s="127" customFormat="1">
      <c r="A442" s="122"/>
      <c r="B442" s="123">
        <v>534</v>
      </c>
      <c r="C442" s="124"/>
      <c r="D442" s="125" t="s">
        <v>381</v>
      </c>
      <c r="E442" s="125" t="s">
        <v>978</v>
      </c>
      <c r="F442" s="122"/>
    </row>
    <row r="443" spans="1:6" s="127" customFormat="1">
      <c r="A443" s="122"/>
      <c r="B443" s="123">
        <v>535</v>
      </c>
      <c r="C443" s="124"/>
      <c r="D443" s="125" t="s">
        <v>382</v>
      </c>
      <c r="E443" s="125" t="s">
        <v>979</v>
      </c>
      <c r="F443" s="122"/>
    </row>
    <row r="444" spans="1:6">
      <c r="B444" s="123">
        <v>536</v>
      </c>
      <c r="D444" s="125" t="s">
        <v>537</v>
      </c>
      <c r="E444" s="125" t="s">
        <v>980</v>
      </c>
    </row>
    <row r="445" spans="1:6">
      <c r="B445" s="123">
        <v>537</v>
      </c>
      <c r="D445" s="125" t="s">
        <v>1034</v>
      </c>
      <c r="E445" s="125" t="s">
        <v>1035</v>
      </c>
    </row>
    <row r="446" spans="1:6">
      <c r="B446" s="123">
        <v>538</v>
      </c>
      <c r="D446" s="125" t="s">
        <v>568</v>
      </c>
      <c r="E446" s="125" t="s">
        <v>981</v>
      </c>
    </row>
    <row r="447" spans="1:6">
      <c r="B447" s="123">
        <v>539</v>
      </c>
      <c r="D447" s="125" t="s">
        <v>564</v>
      </c>
      <c r="E447" s="125" t="s">
        <v>566</v>
      </c>
    </row>
    <row r="448" spans="1:6">
      <c r="B448" s="123">
        <v>540</v>
      </c>
      <c r="D448" s="125" t="s">
        <v>565</v>
      </c>
      <c r="E448" s="125" t="s">
        <v>982</v>
      </c>
    </row>
    <row r="449" spans="2:5">
      <c r="B449" s="123">
        <v>541</v>
      </c>
      <c r="D449" s="125" t="s">
        <v>563</v>
      </c>
      <c r="E449" s="125" t="s">
        <v>567</v>
      </c>
    </row>
    <row r="450" spans="2:5">
      <c r="B450" s="123">
        <v>542</v>
      </c>
      <c r="C450" s="124" t="s">
        <v>610</v>
      </c>
      <c r="D450" s="125" t="s">
        <v>603</v>
      </c>
      <c r="E450" s="134" t="s">
        <v>594</v>
      </c>
    </row>
    <row r="451" spans="2:5">
      <c r="B451" s="123">
        <v>543</v>
      </c>
      <c r="C451" s="124" t="s">
        <v>610</v>
      </c>
      <c r="D451" s="125" t="s">
        <v>604</v>
      </c>
      <c r="E451" s="134" t="s">
        <v>595</v>
      </c>
    </row>
    <row r="452" spans="2:5">
      <c r="B452" s="123">
        <v>544</v>
      </c>
      <c r="C452" s="124" t="s">
        <v>610</v>
      </c>
      <c r="D452" s="122" t="s">
        <v>605</v>
      </c>
      <c r="E452" s="134" t="s">
        <v>596</v>
      </c>
    </row>
    <row r="453" spans="2:5">
      <c r="B453" s="123">
        <v>545</v>
      </c>
      <c r="C453" s="124" t="s">
        <v>610</v>
      </c>
      <c r="D453" s="122" t="s">
        <v>606</v>
      </c>
      <c r="E453" s="134" t="s">
        <v>597</v>
      </c>
    </row>
    <row r="454" spans="2:5">
      <c r="B454" s="123">
        <v>546</v>
      </c>
      <c r="C454" s="124" t="s">
        <v>610</v>
      </c>
      <c r="D454" s="122" t="s">
        <v>431</v>
      </c>
      <c r="E454" s="134" t="s">
        <v>598</v>
      </c>
    </row>
    <row r="455" spans="2:5">
      <c r="B455" s="123">
        <v>547</v>
      </c>
      <c r="C455" s="124" t="s">
        <v>610</v>
      </c>
      <c r="D455" s="122" t="s">
        <v>430</v>
      </c>
      <c r="E455" s="134" t="s">
        <v>599</v>
      </c>
    </row>
    <row r="456" spans="2:5">
      <c r="B456" s="123">
        <v>548</v>
      </c>
      <c r="C456" s="124" t="s">
        <v>610</v>
      </c>
      <c r="D456" s="122" t="s">
        <v>607</v>
      </c>
      <c r="E456" s="134" t="s">
        <v>600</v>
      </c>
    </row>
    <row r="457" spans="2:5">
      <c r="B457" s="123">
        <v>549</v>
      </c>
      <c r="C457" s="124" t="s">
        <v>610</v>
      </c>
      <c r="D457" s="122" t="s">
        <v>608</v>
      </c>
      <c r="E457" s="134" t="s">
        <v>601</v>
      </c>
    </row>
    <row r="458" spans="2:5">
      <c r="B458" s="123">
        <v>550</v>
      </c>
      <c r="C458" s="124" t="s">
        <v>610</v>
      </c>
      <c r="D458" s="122" t="s">
        <v>609</v>
      </c>
      <c r="E458" s="134" t="s">
        <v>983</v>
      </c>
    </row>
    <row r="459" spans="2:5">
      <c r="B459" s="123">
        <v>551</v>
      </c>
      <c r="C459" s="124" t="s">
        <v>610</v>
      </c>
      <c r="D459" s="122" t="s">
        <v>984</v>
      </c>
      <c r="E459" s="134" t="s">
        <v>985</v>
      </c>
    </row>
    <row r="460" spans="2:5">
      <c r="B460" s="123">
        <v>552</v>
      </c>
      <c r="C460" s="124" t="s">
        <v>610</v>
      </c>
      <c r="D460" s="122" t="s">
        <v>1014</v>
      </c>
      <c r="E460" s="134" t="s">
        <v>1015</v>
      </c>
    </row>
    <row r="461" spans="2:5">
      <c r="B461" s="123">
        <v>553</v>
      </c>
      <c r="C461" s="124" t="s">
        <v>610</v>
      </c>
      <c r="D461" s="122" t="s">
        <v>986</v>
      </c>
      <c r="E461" s="134" t="s">
        <v>987</v>
      </c>
    </row>
    <row r="462" spans="2:5">
      <c r="B462" s="123">
        <v>554</v>
      </c>
      <c r="C462" s="124" t="s">
        <v>610</v>
      </c>
      <c r="D462" s="122" t="s">
        <v>1012</v>
      </c>
      <c r="E462" s="134" t="s">
        <v>1013</v>
      </c>
    </row>
    <row r="463" spans="2:5">
      <c r="B463" s="123">
        <v>555</v>
      </c>
      <c r="C463" s="124" t="s">
        <v>610</v>
      </c>
      <c r="D463" s="122" t="s">
        <v>988</v>
      </c>
      <c r="E463" s="134" t="s">
        <v>989</v>
      </c>
    </row>
    <row r="464" spans="2:5">
      <c r="B464" s="123">
        <v>556</v>
      </c>
      <c r="C464" s="124" t="s">
        <v>610</v>
      </c>
      <c r="D464" s="125" t="s">
        <v>990</v>
      </c>
      <c r="E464" s="125" t="s">
        <v>991</v>
      </c>
    </row>
    <row r="465" spans="2:5">
      <c r="B465" s="123">
        <v>557</v>
      </c>
      <c r="C465" s="124" t="s">
        <v>610</v>
      </c>
      <c r="D465" s="125" t="s">
        <v>1010</v>
      </c>
      <c r="E465" s="125" t="s">
        <v>1011</v>
      </c>
    </row>
    <row r="466" spans="2:5">
      <c r="B466" s="123">
        <v>558</v>
      </c>
      <c r="C466" s="124" t="s">
        <v>610</v>
      </c>
      <c r="D466" s="125" t="s">
        <v>994</v>
      </c>
      <c r="E466" s="125" t="s">
        <v>996</v>
      </c>
    </row>
    <row r="467" spans="2:5">
      <c r="B467" s="123">
        <v>559</v>
      </c>
      <c r="C467" s="124" t="s">
        <v>610</v>
      </c>
      <c r="D467" s="125" t="s">
        <v>995</v>
      </c>
      <c r="E467" s="125" t="s">
        <v>997</v>
      </c>
    </row>
    <row r="468" spans="2:5">
      <c r="B468" s="123">
        <v>560</v>
      </c>
      <c r="D468" s="125" t="s">
        <v>998</v>
      </c>
      <c r="E468" s="125" t="s">
        <v>999</v>
      </c>
    </row>
    <row r="469" spans="2:5">
      <c r="B469" s="123">
        <v>561</v>
      </c>
      <c r="C469" s="124" t="s">
        <v>610</v>
      </c>
      <c r="D469" s="125" t="s">
        <v>1006</v>
      </c>
      <c r="E469" s="125" t="s">
        <v>1040</v>
      </c>
    </row>
    <row r="470" spans="2:5">
      <c r="B470" s="123">
        <v>562</v>
      </c>
      <c r="C470" s="124" t="s">
        <v>610</v>
      </c>
      <c r="D470" s="125" t="s">
        <v>1008</v>
      </c>
      <c r="E470" s="125" t="s">
        <v>1009</v>
      </c>
    </row>
    <row r="471" spans="2:5">
      <c r="B471" s="123">
        <v>563</v>
      </c>
      <c r="C471" s="124" t="s">
        <v>1026</v>
      </c>
      <c r="D471" s="125" t="s">
        <v>1022</v>
      </c>
      <c r="E471" s="125" t="s">
        <v>1018</v>
      </c>
    </row>
    <row r="472" spans="2:5">
      <c r="B472" s="123">
        <v>564</v>
      </c>
      <c r="C472" s="124" t="s">
        <v>1026</v>
      </c>
      <c r="D472" s="125" t="s">
        <v>1021</v>
      </c>
      <c r="E472" s="125" t="s">
        <v>1019</v>
      </c>
    </row>
    <row r="473" spans="2:5">
      <c r="B473" s="123">
        <v>565</v>
      </c>
      <c r="C473" s="124" t="s">
        <v>1026</v>
      </c>
      <c r="D473" s="125" t="s">
        <v>1030</v>
      </c>
      <c r="E473" s="125" t="s">
        <v>1031</v>
      </c>
    </row>
    <row r="474" spans="2:5">
      <c r="B474" s="123">
        <v>566</v>
      </c>
      <c r="C474" s="124" t="s">
        <v>1026</v>
      </c>
      <c r="D474" s="125" t="s">
        <v>1023</v>
      </c>
      <c r="E474" s="125" t="s">
        <v>1024</v>
      </c>
    </row>
    <row r="475" spans="2:5" ht="26.4">
      <c r="B475" s="123">
        <v>567</v>
      </c>
      <c r="C475" s="124" t="s">
        <v>1026</v>
      </c>
      <c r="D475" s="125" t="s">
        <v>1020</v>
      </c>
      <c r="E475" s="125" t="s">
        <v>1025</v>
      </c>
    </row>
    <row r="476" spans="2:5">
      <c r="B476" s="123">
        <v>568</v>
      </c>
      <c r="C476" s="124" t="s">
        <v>1026</v>
      </c>
      <c r="D476" s="125" t="s">
        <v>1027</v>
      </c>
      <c r="E476" s="125" t="s">
        <v>1028</v>
      </c>
    </row>
    <row r="477" spans="2:5">
      <c r="B477" s="123">
        <v>569</v>
      </c>
      <c r="D477" s="125" t="s">
        <v>1092</v>
      </c>
      <c r="E477" s="125" t="s">
        <v>1055</v>
      </c>
    </row>
    <row r="478" spans="2:5">
      <c r="B478" s="123">
        <v>570</v>
      </c>
      <c r="D478" s="125" t="s">
        <v>1093</v>
      </c>
      <c r="E478" s="125" t="s">
        <v>1071</v>
      </c>
    </row>
    <row r="479" spans="2:5">
      <c r="B479" s="123">
        <v>571</v>
      </c>
      <c r="D479" s="125" t="s">
        <v>1094</v>
      </c>
      <c r="E479" s="125" t="s">
        <v>1056</v>
      </c>
    </row>
    <row r="480" spans="2:5">
      <c r="B480" s="123">
        <v>572</v>
      </c>
      <c r="D480" s="125" t="s">
        <v>1072</v>
      </c>
      <c r="E480" s="125" t="s">
        <v>1073</v>
      </c>
    </row>
    <row r="481" spans="2:5">
      <c r="B481" s="123">
        <v>573</v>
      </c>
      <c r="D481" s="125" t="s">
        <v>1079</v>
      </c>
      <c r="E481" s="125" t="s">
        <v>1074</v>
      </c>
    </row>
    <row r="482" spans="2:5">
      <c r="B482" s="123">
        <v>574</v>
      </c>
      <c r="D482" s="125" t="s">
        <v>1075</v>
      </c>
      <c r="E482" s="125" t="s">
        <v>1076</v>
      </c>
    </row>
    <row r="483" spans="2:5">
      <c r="B483" s="123">
        <v>575</v>
      </c>
      <c r="D483" s="125" t="s">
        <v>1077</v>
      </c>
      <c r="E483" s="125" t="s">
        <v>1078</v>
      </c>
    </row>
    <row r="484" spans="2:5">
      <c r="B484" s="123">
        <v>576</v>
      </c>
      <c r="D484" s="125" t="s">
        <v>1075</v>
      </c>
      <c r="E484" s="125" t="s">
        <v>1076</v>
      </c>
    </row>
    <row r="485" spans="2:5">
      <c r="B485" s="123">
        <v>577</v>
      </c>
      <c r="D485" s="125" t="s">
        <v>1080</v>
      </c>
      <c r="E485" s="125" t="s">
        <v>1081</v>
      </c>
    </row>
    <row r="486" spans="2:5">
      <c r="B486" s="123">
        <v>578</v>
      </c>
      <c r="D486" s="125" t="s">
        <v>1082</v>
      </c>
      <c r="E486" s="125" t="s">
        <v>1083</v>
      </c>
    </row>
    <row r="487" spans="2:5">
      <c r="B487" s="123">
        <v>579</v>
      </c>
      <c r="D487" s="125" t="s">
        <v>1136</v>
      </c>
      <c r="E487" s="125" t="s">
        <v>1137</v>
      </c>
    </row>
    <row r="488" spans="2:5">
      <c r="B488" s="123">
        <v>580</v>
      </c>
      <c r="D488" s="125" t="s">
        <v>1138</v>
      </c>
      <c r="E488" s="125" t="s">
        <v>1138</v>
      </c>
    </row>
    <row r="489" spans="2:5">
      <c r="B489" s="123">
        <v>581</v>
      </c>
      <c r="D489" s="125" t="s">
        <v>1139</v>
      </c>
      <c r="E489" s="125" t="s">
        <v>1140</v>
      </c>
    </row>
    <row r="490" spans="2:5">
      <c r="B490" s="123">
        <v>582</v>
      </c>
      <c r="D490" s="125" t="s">
        <v>1141</v>
      </c>
      <c r="E490" s="125" t="s">
        <v>1142</v>
      </c>
    </row>
    <row r="491" spans="2:5">
      <c r="B491" s="123">
        <v>583</v>
      </c>
      <c r="D491" s="125" t="s">
        <v>1238</v>
      </c>
      <c r="E491" s="125" t="s">
        <v>1239</v>
      </c>
    </row>
  </sheetData>
  <sortState ref="A9:F442">
    <sortCondition ref="E9:E442"/>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F100"/>
  <sheetViews>
    <sheetView zoomScale="81" zoomScaleNormal="81" workbookViewId="0">
      <selection activeCell="L21" sqref="L21"/>
    </sheetView>
  </sheetViews>
  <sheetFormatPr defaultColWidth="9.59765625" defaultRowHeight="13.8"/>
  <cols>
    <col min="1" max="1" width="9.8984375" style="84" bestFit="1" customWidth="1"/>
    <col min="2" max="2" width="10.59765625" style="84" bestFit="1" customWidth="1"/>
    <col min="3" max="12" width="12.09765625" style="84" bestFit="1" customWidth="1"/>
    <col min="13" max="13" width="32.59765625" style="84" bestFit="1" customWidth="1"/>
    <col min="14" max="14" width="14.09765625" style="84" bestFit="1" customWidth="1"/>
    <col min="15" max="16" width="11.8984375" style="84" bestFit="1" customWidth="1"/>
    <col min="17" max="17" width="15.3984375" style="84" bestFit="1" customWidth="1"/>
    <col min="18" max="18" width="17" style="85" bestFit="1" customWidth="1"/>
    <col min="19" max="19" width="13.5" style="138" bestFit="1" customWidth="1"/>
    <col min="20" max="20" width="13.69921875" style="138" bestFit="1" customWidth="1"/>
    <col min="21" max="21" width="13.8984375" style="85" bestFit="1" customWidth="1"/>
    <col min="22" max="22" width="15.69921875" style="83" bestFit="1" customWidth="1"/>
    <col min="23" max="23" width="9.5" style="143" bestFit="1" customWidth="1"/>
    <col min="24" max="24" width="10.8984375" style="143" bestFit="1" customWidth="1"/>
    <col min="25" max="25" width="10.69921875" style="83" bestFit="1" customWidth="1"/>
    <col min="26" max="26" width="12.3984375" style="83" bestFit="1" customWidth="1"/>
    <col min="27" max="27" width="12.69921875" style="83" bestFit="1" customWidth="1"/>
    <col min="28" max="28" width="15.3984375" style="83" bestFit="1" customWidth="1"/>
    <col min="29" max="29" width="9.59765625" style="83"/>
    <col min="30" max="30" width="9.59765625" style="86"/>
    <col min="31" max="32" width="9.59765625" style="138"/>
    <col min="33" max="16384" width="9.59765625" style="83"/>
  </cols>
  <sheetData>
    <row r="1" spans="1:28">
      <c r="A1" s="81" t="s">
        <v>1135</v>
      </c>
      <c r="B1" s="81" t="s">
        <v>384</v>
      </c>
      <c r="C1" s="81" t="s">
        <v>1123</v>
      </c>
      <c r="D1" s="81" t="s">
        <v>1124</v>
      </c>
      <c r="E1" s="81" t="s">
        <v>1125</v>
      </c>
      <c r="F1" s="81" t="s">
        <v>1126</v>
      </c>
      <c r="G1" s="81" t="s">
        <v>1127</v>
      </c>
      <c r="H1" s="81" t="s">
        <v>1128</v>
      </c>
      <c r="I1" s="81" t="s">
        <v>1129</v>
      </c>
      <c r="J1" s="81" t="s">
        <v>1130</v>
      </c>
      <c r="K1" s="81" t="s">
        <v>1131</v>
      </c>
      <c r="L1" s="81" t="s">
        <v>1132</v>
      </c>
      <c r="M1" s="81" t="s">
        <v>385</v>
      </c>
      <c r="N1" s="81" t="s">
        <v>386</v>
      </c>
      <c r="O1" s="81" t="s">
        <v>387</v>
      </c>
      <c r="P1" s="81" t="s">
        <v>388</v>
      </c>
      <c r="Q1" s="81" t="s">
        <v>1063</v>
      </c>
      <c r="R1" s="81" t="s">
        <v>1064</v>
      </c>
      <c r="S1" s="81" t="s">
        <v>1134</v>
      </c>
      <c r="T1" s="81" t="s">
        <v>1041</v>
      </c>
      <c r="U1" s="81" t="s">
        <v>1042</v>
      </c>
      <c r="V1" s="82" t="s">
        <v>1044</v>
      </c>
      <c r="W1" s="142" t="s">
        <v>1045</v>
      </c>
      <c r="X1" s="142" t="s">
        <v>1046</v>
      </c>
      <c r="Y1" s="82" t="s">
        <v>1065</v>
      </c>
      <c r="Z1" s="82" t="s">
        <v>1066</v>
      </c>
      <c r="AA1" s="82" t="s">
        <v>1099</v>
      </c>
      <c r="AB1" s="82" t="s">
        <v>1043</v>
      </c>
    </row>
    <row r="2" spans="1:28">
      <c r="A2" s="136" t="s">
        <v>1150</v>
      </c>
      <c r="B2" s="136" t="s">
        <v>1144</v>
      </c>
      <c r="C2" s="136" t="s">
        <v>1048</v>
      </c>
      <c r="D2" s="136" t="s">
        <v>1143</v>
      </c>
      <c r="E2" s="136" t="s">
        <v>1144</v>
      </c>
      <c r="M2" s="136" t="s">
        <v>1264</v>
      </c>
      <c r="N2" s="136" t="s">
        <v>1242</v>
      </c>
      <c r="O2" s="140">
        <v>43696</v>
      </c>
      <c r="P2" s="140">
        <v>43697</v>
      </c>
      <c r="Q2" s="140">
        <v>43696</v>
      </c>
      <c r="R2" s="141">
        <v>43701</v>
      </c>
      <c r="S2" s="138">
        <v>34</v>
      </c>
      <c r="T2" s="138">
        <v>1</v>
      </c>
      <c r="U2" s="85">
        <v>1</v>
      </c>
      <c r="V2" s="83">
        <v>1</v>
      </c>
      <c r="W2" s="143">
        <v>1</v>
      </c>
      <c r="X2" s="143">
        <v>1</v>
      </c>
      <c r="AA2" s="83">
        <v>1</v>
      </c>
    </row>
    <row r="3" spans="1:28">
      <c r="A3" s="136" t="s">
        <v>1150</v>
      </c>
      <c r="B3" s="136" t="s">
        <v>1144</v>
      </c>
      <c r="C3" s="136" t="s">
        <v>1048</v>
      </c>
      <c r="D3" s="136" t="s">
        <v>1143</v>
      </c>
      <c r="E3" s="136" t="s">
        <v>1144</v>
      </c>
      <c r="M3" s="136" t="s">
        <v>1264</v>
      </c>
      <c r="N3" s="136" t="s">
        <v>1244</v>
      </c>
      <c r="O3" s="140">
        <v>43696</v>
      </c>
      <c r="P3" s="140">
        <v>43697</v>
      </c>
      <c r="Q3" s="140">
        <v>43696</v>
      </c>
      <c r="R3" s="141">
        <v>43701</v>
      </c>
      <c r="S3" s="138">
        <v>34</v>
      </c>
      <c r="T3" s="138">
        <v>1</v>
      </c>
      <c r="U3" s="85">
        <v>1</v>
      </c>
      <c r="V3" s="83">
        <v>1</v>
      </c>
      <c r="W3" s="143">
        <v>1</v>
      </c>
      <c r="X3" s="143">
        <v>1</v>
      </c>
      <c r="AA3" s="83">
        <v>1</v>
      </c>
    </row>
    <row r="4" spans="1:28">
      <c r="A4" s="136" t="s">
        <v>1151</v>
      </c>
      <c r="B4" s="136" t="s">
        <v>1265</v>
      </c>
      <c r="C4" s="136" t="s">
        <v>1048</v>
      </c>
      <c r="D4" s="136" t="s">
        <v>1143</v>
      </c>
      <c r="E4" s="136" t="s">
        <v>1145</v>
      </c>
      <c r="F4" s="136" t="s">
        <v>1265</v>
      </c>
      <c r="M4" s="136" t="s">
        <v>1266</v>
      </c>
      <c r="N4" s="136" t="s">
        <v>1242</v>
      </c>
      <c r="O4" s="140">
        <v>43700</v>
      </c>
      <c r="P4" s="140">
        <v>43706</v>
      </c>
      <c r="Q4" s="140">
        <v>43696</v>
      </c>
      <c r="R4" s="141">
        <v>43701</v>
      </c>
      <c r="S4" s="138">
        <v>34</v>
      </c>
      <c r="T4" s="138">
        <v>1</v>
      </c>
      <c r="U4" s="85">
        <v>1</v>
      </c>
      <c r="V4" s="83">
        <v>1</v>
      </c>
      <c r="W4" s="143">
        <v>1</v>
      </c>
      <c r="X4" s="143">
        <v>1</v>
      </c>
      <c r="AA4" s="83">
        <v>1</v>
      </c>
    </row>
    <row r="5" spans="1:28">
      <c r="A5" s="136" t="s">
        <v>1151</v>
      </c>
      <c r="B5" s="136" t="s">
        <v>1265</v>
      </c>
      <c r="C5" s="136" t="s">
        <v>1048</v>
      </c>
      <c r="D5" s="136" t="s">
        <v>1143</v>
      </c>
      <c r="E5" s="136" t="s">
        <v>1145</v>
      </c>
      <c r="F5" s="136" t="s">
        <v>1265</v>
      </c>
      <c r="M5" s="136" t="s">
        <v>1266</v>
      </c>
      <c r="N5" s="136" t="s">
        <v>1242</v>
      </c>
      <c r="O5" s="140">
        <v>43700</v>
      </c>
      <c r="P5" s="140">
        <v>43706</v>
      </c>
      <c r="Q5" s="140">
        <v>43702</v>
      </c>
      <c r="R5" s="141">
        <v>43708</v>
      </c>
      <c r="S5" s="138">
        <v>35</v>
      </c>
      <c r="T5" s="138">
        <v>4</v>
      </c>
      <c r="U5" s="85">
        <v>4</v>
      </c>
      <c r="V5" s="83">
        <v>1</v>
      </c>
      <c r="W5" s="143">
        <v>1</v>
      </c>
      <c r="X5" s="143">
        <v>1</v>
      </c>
      <c r="AA5" s="83">
        <v>4</v>
      </c>
    </row>
    <row r="6" spans="1:28">
      <c r="A6" s="136" t="s">
        <v>1151</v>
      </c>
      <c r="B6" s="136" t="s">
        <v>1267</v>
      </c>
      <c r="C6" s="136" t="s">
        <v>1048</v>
      </c>
      <c r="D6" s="136" t="s">
        <v>1143</v>
      </c>
      <c r="E6" s="136" t="s">
        <v>1145</v>
      </c>
      <c r="F6" s="136" t="s">
        <v>1267</v>
      </c>
      <c r="M6" s="136" t="s">
        <v>1268</v>
      </c>
      <c r="N6" s="136" t="s">
        <v>1242</v>
      </c>
      <c r="O6" s="140">
        <v>43718</v>
      </c>
      <c r="P6" s="140">
        <v>43718</v>
      </c>
      <c r="Q6" s="140">
        <v>43716</v>
      </c>
      <c r="R6" s="141">
        <v>43722</v>
      </c>
      <c r="S6" s="138">
        <v>37</v>
      </c>
      <c r="T6" s="138">
        <v>1</v>
      </c>
      <c r="U6" s="85">
        <v>1</v>
      </c>
      <c r="V6" s="83">
        <v>1</v>
      </c>
      <c r="W6" s="143">
        <v>1</v>
      </c>
      <c r="X6" s="143">
        <v>1</v>
      </c>
      <c r="AA6" s="83">
        <v>1</v>
      </c>
    </row>
    <row r="7" spans="1:28">
      <c r="A7" s="136" t="s">
        <v>1150</v>
      </c>
      <c r="B7" s="136" t="s">
        <v>1147</v>
      </c>
      <c r="C7" s="136" t="s">
        <v>1048</v>
      </c>
      <c r="D7" s="136" t="s">
        <v>1146</v>
      </c>
      <c r="E7" s="136" t="s">
        <v>1147</v>
      </c>
      <c r="M7" s="136" t="s">
        <v>1269</v>
      </c>
      <c r="N7" s="136" t="s">
        <v>1243</v>
      </c>
      <c r="O7" s="140">
        <v>43721</v>
      </c>
      <c r="P7" s="140">
        <v>43725</v>
      </c>
      <c r="Q7" s="140">
        <v>43716</v>
      </c>
      <c r="R7" s="141">
        <v>43722</v>
      </c>
      <c r="S7" s="138">
        <v>37</v>
      </c>
      <c r="T7" s="138">
        <v>0</v>
      </c>
      <c r="U7" s="85">
        <v>0</v>
      </c>
      <c r="V7" s="83">
        <v>1</v>
      </c>
      <c r="W7" s="143">
        <v>1</v>
      </c>
      <c r="X7" s="143">
        <v>1</v>
      </c>
      <c r="AA7" s="83">
        <v>0</v>
      </c>
    </row>
    <row r="8" spans="1:28">
      <c r="A8" s="136" t="s">
        <v>1150</v>
      </c>
      <c r="B8" s="136" t="s">
        <v>1147</v>
      </c>
      <c r="C8" s="136" t="s">
        <v>1048</v>
      </c>
      <c r="D8" s="136" t="s">
        <v>1146</v>
      </c>
      <c r="E8" s="136" t="s">
        <v>1147</v>
      </c>
      <c r="M8" s="136" t="s">
        <v>1269</v>
      </c>
      <c r="N8" s="136" t="s">
        <v>1243</v>
      </c>
      <c r="O8" s="140">
        <v>43721</v>
      </c>
      <c r="P8" s="140">
        <v>43725</v>
      </c>
      <c r="Q8" s="140">
        <v>43723</v>
      </c>
      <c r="R8" s="141">
        <v>43729</v>
      </c>
      <c r="S8" s="138">
        <v>38</v>
      </c>
      <c r="T8" s="138">
        <v>2</v>
      </c>
      <c r="U8" s="85">
        <v>2</v>
      </c>
      <c r="V8" s="83">
        <v>1</v>
      </c>
      <c r="W8" s="143">
        <v>1</v>
      </c>
      <c r="X8" s="143">
        <v>1</v>
      </c>
      <c r="AA8" s="83">
        <v>2</v>
      </c>
    </row>
    <row r="9" spans="1:28">
      <c r="A9" s="136" t="s">
        <v>1150</v>
      </c>
      <c r="B9" s="136" t="s">
        <v>1195</v>
      </c>
      <c r="C9" s="136" t="s">
        <v>1048</v>
      </c>
      <c r="D9" s="136" t="s">
        <v>1146</v>
      </c>
      <c r="E9" s="136" t="s">
        <v>1195</v>
      </c>
      <c r="M9" s="136" t="s">
        <v>1270</v>
      </c>
      <c r="N9" s="136" t="s">
        <v>1243</v>
      </c>
      <c r="O9" s="140">
        <v>43753</v>
      </c>
      <c r="P9" s="140">
        <v>43753</v>
      </c>
      <c r="Q9" s="140">
        <v>43751</v>
      </c>
      <c r="R9" s="141">
        <v>43757</v>
      </c>
      <c r="S9" s="138">
        <v>42</v>
      </c>
      <c r="T9" s="138">
        <v>1</v>
      </c>
      <c r="U9" s="85">
        <v>0</v>
      </c>
      <c r="V9" s="83">
        <v>1</v>
      </c>
      <c r="W9" s="143">
        <v>0</v>
      </c>
      <c r="X9" s="143">
        <v>0</v>
      </c>
      <c r="AA9" s="83">
        <v>0</v>
      </c>
    </row>
    <row r="10" spans="1:28">
      <c r="A10" s="136" t="s">
        <v>1150</v>
      </c>
      <c r="B10" s="136" t="s">
        <v>1271</v>
      </c>
      <c r="C10" s="136" t="s">
        <v>1048</v>
      </c>
      <c r="D10" s="136" t="s">
        <v>1146</v>
      </c>
      <c r="E10" s="136" t="s">
        <v>1271</v>
      </c>
      <c r="M10" s="136" t="s">
        <v>1272</v>
      </c>
      <c r="N10" s="136" t="s">
        <v>574</v>
      </c>
      <c r="O10" s="140">
        <v>43789</v>
      </c>
      <c r="P10" s="140">
        <v>43814</v>
      </c>
      <c r="Q10" s="140">
        <v>43786</v>
      </c>
      <c r="R10" s="141">
        <v>43792</v>
      </c>
      <c r="S10" s="138">
        <v>47</v>
      </c>
      <c r="T10" s="138">
        <v>3</v>
      </c>
      <c r="U10" s="85">
        <v>0</v>
      </c>
      <c r="V10" s="83">
        <v>1</v>
      </c>
      <c r="W10" s="143">
        <v>0</v>
      </c>
      <c r="X10" s="143">
        <v>0</v>
      </c>
      <c r="AA10" s="83">
        <v>0</v>
      </c>
    </row>
    <row r="11" spans="1:28">
      <c r="A11" s="136" t="s">
        <v>1150</v>
      </c>
      <c r="B11" s="136" t="s">
        <v>1271</v>
      </c>
      <c r="C11" s="136" t="s">
        <v>1048</v>
      </c>
      <c r="D11" s="136" t="s">
        <v>1146</v>
      </c>
      <c r="E11" s="136" t="s">
        <v>1271</v>
      </c>
      <c r="M11" s="136" t="s">
        <v>1272</v>
      </c>
      <c r="N11" s="136" t="s">
        <v>574</v>
      </c>
      <c r="O11" s="140">
        <v>43789</v>
      </c>
      <c r="P11" s="140">
        <v>43814</v>
      </c>
      <c r="Q11" s="140">
        <v>43793</v>
      </c>
      <c r="R11" s="141">
        <v>43799</v>
      </c>
      <c r="S11" s="138">
        <v>48</v>
      </c>
      <c r="T11" s="138">
        <v>5</v>
      </c>
      <c r="U11" s="85">
        <v>0</v>
      </c>
      <c r="V11" s="83">
        <v>1</v>
      </c>
      <c r="W11" s="143">
        <v>0</v>
      </c>
      <c r="X11" s="143">
        <v>0</v>
      </c>
      <c r="AA11" s="83">
        <v>0</v>
      </c>
    </row>
    <row r="12" spans="1:28">
      <c r="A12" s="136" t="s">
        <v>1150</v>
      </c>
      <c r="B12" s="136" t="s">
        <v>1271</v>
      </c>
      <c r="C12" s="136" t="s">
        <v>1048</v>
      </c>
      <c r="D12" s="136" t="s">
        <v>1146</v>
      </c>
      <c r="E12" s="136" t="s">
        <v>1271</v>
      </c>
      <c r="M12" s="136" t="s">
        <v>1272</v>
      </c>
      <c r="N12" s="136" t="s">
        <v>574</v>
      </c>
      <c r="O12" s="140">
        <v>43789</v>
      </c>
      <c r="P12" s="140">
        <v>43814</v>
      </c>
      <c r="Q12" s="140">
        <v>43800</v>
      </c>
      <c r="R12" s="141">
        <v>43806</v>
      </c>
      <c r="S12" s="138">
        <v>49</v>
      </c>
      <c r="T12" s="138">
        <v>5</v>
      </c>
      <c r="U12" s="85">
        <v>0</v>
      </c>
      <c r="V12" s="83">
        <v>1</v>
      </c>
      <c r="W12" s="143">
        <v>0</v>
      </c>
      <c r="X12" s="143">
        <v>0</v>
      </c>
      <c r="AA12" s="83">
        <v>0</v>
      </c>
    </row>
    <row r="13" spans="1:28">
      <c r="A13" s="136" t="s">
        <v>1150</v>
      </c>
      <c r="B13" s="136" t="s">
        <v>1271</v>
      </c>
      <c r="C13" s="136" t="s">
        <v>1048</v>
      </c>
      <c r="D13" s="136" t="s">
        <v>1146</v>
      </c>
      <c r="E13" s="136" t="s">
        <v>1271</v>
      </c>
      <c r="M13" s="136" t="s">
        <v>1272</v>
      </c>
      <c r="N13" s="136" t="s">
        <v>574</v>
      </c>
      <c r="O13" s="140">
        <v>43789</v>
      </c>
      <c r="P13" s="140">
        <v>43814</v>
      </c>
      <c r="Q13" s="140">
        <v>43807</v>
      </c>
      <c r="R13" s="141">
        <v>43813</v>
      </c>
      <c r="S13" s="138">
        <v>50</v>
      </c>
      <c r="T13" s="138">
        <v>5</v>
      </c>
      <c r="U13" s="85">
        <v>0</v>
      </c>
      <c r="V13" s="83">
        <v>1</v>
      </c>
      <c r="W13" s="143">
        <v>0</v>
      </c>
      <c r="X13" s="143">
        <v>0</v>
      </c>
      <c r="AA13" s="83">
        <v>0</v>
      </c>
    </row>
    <row r="14" spans="1:28">
      <c r="A14" s="136" t="s">
        <v>1150</v>
      </c>
      <c r="B14" s="136" t="s">
        <v>1271</v>
      </c>
      <c r="C14" s="136" t="s">
        <v>1048</v>
      </c>
      <c r="D14" s="136" t="s">
        <v>1146</v>
      </c>
      <c r="E14" s="136" t="s">
        <v>1271</v>
      </c>
      <c r="M14" s="136" t="s">
        <v>1272</v>
      </c>
      <c r="N14" s="136" t="s">
        <v>574</v>
      </c>
      <c r="O14" s="140">
        <v>43789</v>
      </c>
      <c r="P14" s="140">
        <v>43814</v>
      </c>
      <c r="Q14" s="140">
        <v>43814</v>
      </c>
      <c r="R14" s="141">
        <v>43820</v>
      </c>
      <c r="S14" s="138">
        <v>51</v>
      </c>
      <c r="T14" s="138">
        <v>0</v>
      </c>
      <c r="U14" s="85">
        <v>0</v>
      </c>
      <c r="V14" s="83">
        <v>1</v>
      </c>
      <c r="W14" s="143">
        <v>0</v>
      </c>
      <c r="X14" s="143">
        <v>0</v>
      </c>
      <c r="AA14" s="83">
        <v>0</v>
      </c>
    </row>
    <row r="15" spans="1:28">
      <c r="A15" s="136" t="s">
        <v>1150</v>
      </c>
      <c r="B15" s="136" t="s">
        <v>1273</v>
      </c>
      <c r="C15" s="136" t="s">
        <v>1048</v>
      </c>
      <c r="D15" s="136" t="s">
        <v>1146</v>
      </c>
      <c r="E15" s="136" t="s">
        <v>1273</v>
      </c>
      <c r="M15" s="136" t="s">
        <v>1274</v>
      </c>
      <c r="N15" s="136" t="s">
        <v>574</v>
      </c>
      <c r="O15" s="140">
        <v>43718</v>
      </c>
      <c r="P15" s="140">
        <v>43718</v>
      </c>
      <c r="Q15" s="140">
        <v>43716</v>
      </c>
      <c r="R15" s="141">
        <v>43722</v>
      </c>
      <c r="S15" s="138">
        <v>37</v>
      </c>
      <c r="T15" s="138">
        <v>1</v>
      </c>
      <c r="U15" s="85">
        <v>1</v>
      </c>
      <c r="V15" s="83">
        <v>1</v>
      </c>
      <c r="W15" s="143">
        <v>1</v>
      </c>
      <c r="X15" s="143">
        <v>1</v>
      </c>
      <c r="AA15" s="83">
        <v>0</v>
      </c>
    </row>
    <row r="16" spans="1:28">
      <c r="A16" s="136" t="s">
        <v>1150</v>
      </c>
      <c r="B16" s="136" t="s">
        <v>1273</v>
      </c>
      <c r="C16" s="136" t="s">
        <v>1048</v>
      </c>
      <c r="D16" s="136" t="s">
        <v>1146</v>
      </c>
      <c r="E16" s="136" t="s">
        <v>1273</v>
      </c>
      <c r="M16" s="136" t="s">
        <v>1274</v>
      </c>
      <c r="N16" s="136" t="s">
        <v>574</v>
      </c>
      <c r="O16" s="140">
        <v>43718</v>
      </c>
      <c r="P16" s="140">
        <v>43718</v>
      </c>
      <c r="Q16" s="140">
        <v>43723</v>
      </c>
      <c r="R16" s="141">
        <v>43729</v>
      </c>
      <c r="S16" s="138">
        <v>38</v>
      </c>
      <c r="T16" s="138">
        <v>0</v>
      </c>
      <c r="U16" s="85">
        <v>0</v>
      </c>
      <c r="V16" s="83">
        <v>1</v>
      </c>
      <c r="W16" s="143">
        <v>1</v>
      </c>
      <c r="X16" s="143">
        <v>1</v>
      </c>
      <c r="AA16" s="83">
        <v>1</v>
      </c>
    </row>
    <row r="17" spans="1:27">
      <c r="A17" s="136" t="s">
        <v>1150</v>
      </c>
      <c r="B17" s="136" t="s">
        <v>1149</v>
      </c>
      <c r="C17" s="136" t="s">
        <v>1048</v>
      </c>
      <c r="D17" s="136" t="s">
        <v>1148</v>
      </c>
      <c r="E17" s="136" t="s">
        <v>1149</v>
      </c>
      <c r="M17" s="136" t="s">
        <v>1275</v>
      </c>
      <c r="N17" s="136" t="s">
        <v>1244</v>
      </c>
      <c r="O17" s="140">
        <v>43822</v>
      </c>
      <c r="P17" s="140">
        <v>43826</v>
      </c>
      <c r="Q17" s="140">
        <v>43821</v>
      </c>
      <c r="R17" s="141">
        <v>43827</v>
      </c>
      <c r="S17" s="138">
        <v>52</v>
      </c>
      <c r="T17" s="138">
        <v>2</v>
      </c>
      <c r="U17" s="85">
        <v>0</v>
      </c>
      <c r="V17" s="83">
        <v>1</v>
      </c>
      <c r="W17" s="143">
        <v>0</v>
      </c>
      <c r="X17" s="143">
        <v>0</v>
      </c>
      <c r="AA17" s="83">
        <v>0</v>
      </c>
    </row>
    <row r="18" spans="1:27">
      <c r="A18" s="136" t="s">
        <v>1150</v>
      </c>
      <c r="B18" s="136" t="s">
        <v>1149</v>
      </c>
      <c r="C18" s="136" t="s">
        <v>1048</v>
      </c>
      <c r="D18" s="136" t="s">
        <v>1148</v>
      </c>
      <c r="E18" s="136" t="s">
        <v>1149</v>
      </c>
      <c r="M18" s="136" t="s">
        <v>1275</v>
      </c>
      <c r="N18" s="136" t="s">
        <v>1242</v>
      </c>
      <c r="O18" s="140">
        <v>43822</v>
      </c>
      <c r="P18" s="140">
        <v>43826</v>
      </c>
      <c r="Q18" s="140">
        <v>43821</v>
      </c>
      <c r="R18" s="141">
        <v>43827</v>
      </c>
      <c r="S18" s="138">
        <v>52</v>
      </c>
      <c r="T18" s="138">
        <v>2</v>
      </c>
      <c r="U18" s="85">
        <v>0</v>
      </c>
      <c r="V18" s="83">
        <v>1</v>
      </c>
      <c r="W18" s="143">
        <v>0</v>
      </c>
      <c r="X18" s="143">
        <v>0</v>
      </c>
      <c r="AA18" s="83">
        <v>0</v>
      </c>
    </row>
    <row r="19" spans="1:27">
      <c r="A19" s="136" t="s">
        <v>1150</v>
      </c>
      <c r="B19" s="136" t="s">
        <v>1196</v>
      </c>
      <c r="C19" s="136" t="s">
        <v>1048</v>
      </c>
      <c r="D19" s="136" t="s">
        <v>1148</v>
      </c>
      <c r="E19" s="136" t="s">
        <v>1196</v>
      </c>
      <c r="M19" s="136" t="s">
        <v>1276</v>
      </c>
      <c r="N19" s="136" t="s">
        <v>766</v>
      </c>
      <c r="O19" s="140">
        <v>43829</v>
      </c>
      <c r="P19" s="140">
        <v>43847</v>
      </c>
      <c r="Q19" s="140">
        <v>43828</v>
      </c>
      <c r="R19" s="141">
        <v>43834</v>
      </c>
      <c r="S19" s="138">
        <v>53</v>
      </c>
      <c r="T19" s="138">
        <v>4</v>
      </c>
      <c r="U19" s="85">
        <v>0</v>
      </c>
      <c r="V19" s="83">
        <v>1</v>
      </c>
      <c r="W19" s="143">
        <v>0</v>
      </c>
      <c r="X19" s="143">
        <v>0</v>
      </c>
      <c r="AA19" s="83">
        <v>0</v>
      </c>
    </row>
    <row r="20" spans="1:27">
      <c r="A20" s="136" t="s">
        <v>1150</v>
      </c>
      <c r="B20" s="136" t="s">
        <v>1196</v>
      </c>
      <c r="C20" s="136" t="s">
        <v>1048</v>
      </c>
      <c r="D20" s="136" t="s">
        <v>1148</v>
      </c>
      <c r="E20" s="136" t="s">
        <v>1196</v>
      </c>
      <c r="M20" s="136" t="s">
        <v>1276</v>
      </c>
      <c r="N20" s="136" t="s">
        <v>766</v>
      </c>
      <c r="O20" s="140">
        <v>43829</v>
      </c>
      <c r="P20" s="140">
        <v>43847</v>
      </c>
      <c r="Q20" s="140">
        <v>43835</v>
      </c>
      <c r="R20" s="141">
        <v>43841</v>
      </c>
      <c r="S20" s="138">
        <v>2</v>
      </c>
      <c r="T20" s="138">
        <v>5</v>
      </c>
      <c r="U20" s="85">
        <v>0</v>
      </c>
      <c r="V20" s="83">
        <v>1</v>
      </c>
      <c r="W20" s="143">
        <v>0</v>
      </c>
      <c r="X20" s="143">
        <v>0</v>
      </c>
      <c r="AA20" s="83">
        <v>0</v>
      </c>
    </row>
    <row r="21" spans="1:27">
      <c r="A21" s="136" t="s">
        <v>1150</v>
      </c>
      <c r="B21" s="136" t="s">
        <v>1196</v>
      </c>
      <c r="C21" s="136" t="s">
        <v>1048</v>
      </c>
      <c r="D21" s="136" t="s">
        <v>1148</v>
      </c>
      <c r="E21" s="136" t="s">
        <v>1196</v>
      </c>
      <c r="M21" s="136" t="s">
        <v>1276</v>
      </c>
      <c r="N21" s="136" t="s">
        <v>766</v>
      </c>
      <c r="O21" s="140">
        <v>43829</v>
      </c>
      <c r="P21" s="140">
        <v>43847</v>
      </c>
      <c r="Q21" s="140">
        <v>43842</v>
      </c>
      <c r="R21" s="141">
        <v>43848</v>
      </c>
      <c r="S21" s="138">
        <v>3</v>
      </c>
      <c r="T21" s="138">
        <v>5</v>
      </c>
      <c r="U21" s="85">
        <v>0</v>
      </c>
      <c r="V21" s="83">
        <v>1</v>
      </c>
      <c r="W21" s="143">
        <v>0</v>
      </c>
      <c r="X21" s="143">
        <v>0</v>
      </c>
      <c r="AA21" s="83">
        <v>0</v>
      </c>
    </row>
    <row r="22" spans="1:27">
      <c r="A22" s="136" t="s">
        <v>1150</v>
      </c>
      <c r="B22" s="136" t="s">
        <v>1277</v>
      </c>
      <c r="C22" s="136" t="s">
        <v>1048</v>
      </c>
      <c r="D22" s="136" t="s">
        <v>1148</v>
      </c>
      <c r="E22" s="136" t="s">
        <v>1277</v>
      </c>
      <c r="M22" s="136" t="s">
        <v>1278</v>
      </c>
      <c r="N22" s="136" t="s">
        <v>1245</v>
      </c>
      <c r="O22" s="140">
        <v>43847</v>
      </c>
      <c r="P22" s="140">
        <v>43847</v>
      </c>
      <c r="Q22" s="140">
        <v>43842</v>
      </c>
      <c r="R22" s="141">
        <v>43848</v>
      </c>
      <c r="S22" s="138">
        <v>3</v>
      </c>
      <c r="T22" s="138">
        <v>0.5</v>
      </c>
      <c r="U22" s="85">
        <v>0</v>
      </c>
      <c r="V22" s="83">
        <v>1</v>
      </c>
      <c r="W22" s="143">
        <v>0</v>
      </c>
      <c r="X22" s="143">
        <v>0</v>
      </c>
      <c r="AA22" s="83">
        <v>0</v>
      </c>
    </row>
    <row r="23" spans="1:27">
      <c r="A23" s="136" t="s">
        <v>1150</v>
      </c>
      <c r="B23" s="136" t="s">
        <v>1277</v>
      </c>
      <c r="C23" s="136" t="s">
        <v>1048</v>
      </c>
      <c r="D23" s="136" t="s">
        <v>1148</v>
      </c>
      <c r="E23" s="136" t="s">
        <v>1277</v>
      </c>
      <c r="M23" s="136" t="s">
        <v>1278</v>
      </c>
      <c r="N23" s="136" t="s">
        <v>1246</v>
      </c>
      <c r="O23" s="140">
        <v>43847</v>
      </c>
      <c r="P23" s="140">
        <v>43847</v>
      </c>
      <c r="Q23" s="140">
        <v>43842</v>
      </c>
      <c r="R23" s="141">
        <v>43848</v>
      </c>
      <c r="S23" s="138">
        <v>3</v>
      </c>
      <c r="T23" s="138">
        <v>0.5</v>
      </c>
      <c r="U23" s="85">
        <v>0</v>
      </c>
      <c r="V23" s="83">
        <v>1</v>
      </c>
      <c r="W23" s="143">
        <v>0</v>
      </c>
      <c r="X23" s="143">
        <v>0</v>
      </c>
      <c r="AA23" s="83">
        <v>0</v>
      </c>
    </row>
    <row r="24" spans="1:27">
      <c r="A24" s="136" t="s">
        <v>1150</v>
      </c>
      <c r="B24" s="136" t="s">
        <v>1279</v>
      </c>
      <c r="C24" s="136" t="s">
        <v>1048</v>
      </c>
      <c r="D24" s="136" t="s">
        <v>1148</v>
      </c>
      <c r="E24" s="136" t="s">
        <v>1279</v>
      </c>
      <c r="M24" s="136" t="s">
        <v>1280</v>
      </c>
      <c r="N24" s="136" t="s">
        <v>574</v>
      </c>
      <c r="O24" s="140">
        <v>43847</v>
      </c>
      <c r="P24" s="140">
        <v>43847</v>
      </c>
      <c r="Q24" s="140">
        <v>43842</v>
      </c>
      <c r="R24" s="141">
        <v>43848</v>
      </c>
      <c r="S24" s="138">
        <v>3</v>
      </c>
      <c r="T24" s="138">
        <v>1</v>
      </c>
      <c r="U24" s="85">
        <v>0</v>
      </c>
      <c r="V24" s="83">
        <v>1</v>
      </c>
      <c r="W24" s="143">
        <v>0</v>
      </c>
      <c r="X24" s="143">
        <v>0</v>
      </c>
      <c r="AA24" s="83">
        <v>0</v>
      </c>
    </row>
    <row r="25" spans="1:27">
      <c r="A25" s="136" t="s">
        <v>1150</v>
      </c>
      <c r="B25" s="136" t="s">
        <v>1281</v>
      </c>
      <c r="C25" s="136" t="s">
        <v>1133</v>
      </c>
      <c r="D25" s="136" t="s">
        <v>1333</v>
      </c>
      <c r="E25" s="136" t="s">
        <v>1281</v>
      </c>
      <c r="M25" s="136" t="s">
        <v>1282</v>
      </c>
      <c r="N25" s="136" t="s">
        <v>574</v>
      </c>
      <c r="O25" s="140">
        <v>43700</v>
      </c>
      <c r="P25" s="140">
        <v>43718</v>
      </c>
      <c r="Q25" s="140">
        <v>43696</v>
      </c>
      <c r="R25" s="141">
        <v>43701</v>
      </c>
      <c r="S25" s="138">
        <v>34</v>
      </c>
      <c r="T25" s="138">
        <v>1</v>
      </c>
      <c r="U25" s="85">
        <v>1</v>
      </c>
      <c r="V25" s="83">
        <v>1</v>
      </c>
      <c r="W25" s="143">
        <v>1</v>
      </c>
      <c r="X25" s="143">
        <v>1</v>
      </c>
      <c r="AA25" s="83">
        <v>1</v>
      </c>
    </row>
    <row r="26" spans="1:27">
      <c r="A26" s="136" t="s">
        <v>1150</v>
      </c>
      <c r="B26" s="136" t="s">
        <v>1281</v>
      </c>
      <c r="C26" s="136" t="s">
        <v>1133</v>
      </c>
      <c r="D26" s="136" t="s">
        <v>1333</v>
      </c>
      <c r="E26" s="136" t="s">
        <v>1281</v>
      </c>
      <c r="M26" s="136" t="s">
        <v>1282</v>
      </c>
      <c r="N26" s="136" t="s">
        <v>574</v>
      </c>
      <c r="O26" s="140">
        <v>43700</v>
      </c>
      <c r="P26" s="140">
        <v>43718</v>
      </c>
      <c r="Q26" s="140">
        <v>43702</v>
      </c>
      <c r="R26" s="141">
        <v>43708</v>
      </c>
      <c r="S26" s="138">
        <v>35</v>
      </c>
      <c r="T26" s="138">
        <v>5</v>
      </c>
      <c r="U26" s="85">
        <v>5</v>
      </c>
      <c r="V26" s="83">
        <v>1</v>
      </c>
      <c r="W26" s="143">
        <v>1</v>
      </c>
      <c r="X26" s="143">
        <v>1</v>
      </c>
      <c r="AA26" s="83">
        <v>5</v>
      </c>
    </row>
    <row r="27" spans="1:27">
      <c r="A27" s="136" t="s">
        <v>1150</v>
      </c>
      <c r="B27" s="136" t="s">
        <v>1281</v>
      </c>
      <c r="C27" s="136" t="s">
        <v>1133</v>
      </c>
      <c r="D27" s="136" t="s">
        <v>1333</v>
      </c>
      <c r="E27" s="136" t="s">
        <v>1281</v>
      </c>
      <c r="M27" s="136" t="s">
        <v>1282</v>
      </c>
      <c r="N27" s="136" t="s">
        <v>574</v>
      </c>
      <c r="O27" s="140">
        <v>43700</v>
      </c>
      <c r="P27" s="140">
        <v>43718</v>
      </c>
      <c r="Q27" s="140">
        <v>43709</v>
      </c>
      <c r="R27" s="141">
        <v>43715</v>
      </c>
      <c r="S27" s="138">
        <v>36</v>
      </c>
      <c r="T27" s="138">
        <v>5</v>
      </c>
      <c r="U27" s="85">
        <v>5</v>
      </c>
      <c r="V27" s="83">
        <v>1</v>
      </c>
      <c r="W27" s="143">
        <v>1</v>
      </c>
      <c r="X27" s="143">
        <v>1</v>
      </c>
      <c r="AA27" s="83">
        <v>5</v>
      </c>
    </row>
    <row r="28" spans="1:27">
      <c r="A28" s="136" t="s">
        <v>1150</v>
      </c>
      <c r="B28" s="136" t="s">
        <v>1281</v>
      </c>
      <c r="C28" s="136" t="s">
        <v>1133</v>
      </c>
      <c r="D28" s="136" t="s">
        <v>1333</v>
      </c>
      <c r="E28" s="136" t="s">
        <v>1281</v>
      </c>
      <c r="M28" s="136" t="s">
        <v>1282</v>
      </c>
      <c r="N28" s="136" t="s">
        <v>574</v>
      </c>
      <c r="O28" s="140">
        <v>43700</v>
      </c>
      <c r="P28" s="140">
        <v>43718</v>
      </c>
      <c r="Q28" s="140">
        <v>43716</v>
      </c>
      <c r="R28" s="141">
        <v>43722</v>
      </c>
      <c r="S28" s="138">
        <v>37</v>
      </c>
      <c r="T28" s="138">
        <v>2</v>
      </c>
      <c r="U28" s="85">
        <v>2</v>
      </c>
      <c r="V28" s="83">
        <v>1</v>
      </c>
      <c r="W28" s="143">
        <v>1</v>
      </c>
      <c r="X28" s="143">
        <v>1</v>
      </c>
      <c r="AA28" s="83">
        <v>2</v>
      </c>
    </row>
    <row r="29" spans="1:27">
      <c r="A29" s="136" t="s">
        <v>1151</v>
      </c>
      <c r="B29" s="136" t="s">
        <v>1284</v>
      </c>
      <c r="C29" s="136" t="s">
        <v>1133</v>
      </c>
      <c r="D29" s="136" t="s">
        <v>1333</v>
      </c>
      <c r="E29" s="136" t="s">
        <v>1283</v>
      </c>
      <c r="F29" s="136" t="s">
        <v>1284</v>
      </c>
      <c r="M29" s="136" t="s">
        <v>1285</v>
      </c>
      <c r="N29" s="136" t="s">
        <v>574</v>
      </c>
      <c r="O29" s="140">
        <v>43706</v>
      </c>
      <c r="P29" s="140">
        <v>43717</v>
      </c>
      <c r="Q29" s="140">
        <v>43702</v>
      </c>
      <c r="R29" s="141">
        <v>43708</v>
      </c>
      <c r="S29" s="138">
        <v>35</v>
      </c>
      <c r="T29" s="138">
        <v>2</v>
      </c>
      <c r="U29" s="85">
        <v>2</v>
      </c>
      <c r="V29" s="83">
        <v>1</v>
      </c>
      <c r="W29" s="143">
        <v>1</v>
      </c>
      <c r="X29" s="143">
        <v>1</v>
      </c>
      <c r="AA29" s="83">
        <v>0</v>
      </c>
    </row>
    <row r="30" spans="1:27">
      <c r="A30" s="136" t="s">
        <v>1151</v>
      </c>
      <c r="B30" s="136" t="s">
        <v>1284</v>
      </c>
      <c r="C30" s="136" t="s">
        <v>1133</v>
      </c>
      <c r="D30" s="136" t="s">
        <v>1333</v>
      </c>
      <c r="E30" s="136" t="s">
        <v>1283</v>
      </c>
      <c r="F30" s="136" t="s">
        <v>1284</v>
      </c>
      <c r="M30" s="136" t="s">
        <v>1285</v>
      </c>
      <c r="N30" s="136" t="s">
        <v>574</v>
      </c>
      <c r="O30" s="140">
        <v>43706</v>
      </c>
      <c r="P30" s="140">
        <v>43717</v>
      </c>
      <c r="Q30" s="140">
        <v>43709</v>
      </c>
      <c r="R30" s="141">
        <v>43715</v>
      </c>
      <c r="S30" s="138">
        <v>36</v>
      </c>
      <c r="T30" s="138">
        <v>5</v>
      </c>
      <c r="U30" s="85">
        <v>5</v>
      </c>
      <c r="V30" s="83">
        <v>1</v>
      </c>
      <c r="W30" s="143">
        <v>1</v>
      </c>
      <c r="X30" s="143">
        <v>1</v>
      </c>
      <c r="AA30" s="83">
        <v>5</v>
      </c>
    </row>
    <row r="31" spans="1:27">
      <c r="A31" s="136" t="s">
        <v>1151</v>
      </c>
      <c r="B31" s="136" t="s">
        <v>1284</v>
      </c>
      <c r="C31" s="136" t="s">
        <v>1133</v>
      </c>
      <c r="D31" s="136" t="s">
        <v>1333</v>
      </c>
      <c r="E31" s="136" t="s">
        <v>1283</v>
      </c>
      <c r="F31" s="136" t="s">
        <v>1284</v>
      </c>
      <c r="M31" s="136" t="s">
        <v>1285</v>
      </c>
      <c r="N31" s="136" t="s">
        <v>574</v>
      </c>
      <c r="O31" s="140">
        <v>43706</v>
      </c>
      <c r="P31" s="140">
        <v>43717</v>
      </c>
      <c r="Q31" s="140">
        <v>43716</v>
      </c>
      <c r="R31" s="141">
        <v>43722</v>
      </c>
      <c r="S31" s="138">
        <v>37</v>
      </c>
      <c r="T31" s="138">
        <v>1</v>
      </c>
      <c r="U31" s="85">
        <v>1</v>
      </c>
      <c r="V31" s="83">
        <v>1</v>
      </c>
      <c r="W31" s="143">
        <v>1</v>
      </c>
      <c r="X31" s="143">
        <v>1</v>
      </c>
      <c r="AA31" s="83">
        <v>3</v>
      </c>
    </row>
    <row r="32" spans="1:27">
      <c r="A32" s="136" t="s">
        <v>1151</v>
      </c>
      <c r="B32" s="136" t="s">
        <v>1284</v>
      </c>
      <c r="C32" s="136" t="s">
        <v>1133</v>
      </c>
      <c r="D32" s="136" t="s">
        <v>1333</v>
      </c>
      <c r="E32" s="136" t="s">
        <v>1283</v>
      </c>
      <c r="F32" s="136" t="s">
        <v>1284</v>
      </c>
      <c r="M32" s="136" t="s">
        <v>1285</v>
      </c>
      <c r="N32" s="136" t="s">
        <v>574</v>
      </c>
      <c r="O32" s="140">
        <v>43706</v>
      </c>
      <c r="P32" s="140">
        <v>43717</v>
      </c>
      <c r="Q32" s="140">
        <v>43723</v>
      </c>
      <c r="R32" s="141">
        <v>43729</v>
      </c>
      <c r="S32" s="138">
        <v>38</v>
      </c>
      <c r="T32" s="138">
        <v>0</v>
      </c>
      <c r="U32" s="85">
        <v>0</v>
      </c>
      <c r="V32" s="83">
        <v>1</v>
      </c>
      <c r="W32" s="143">
        <v>1</v>
      </c>
      <c r="X32" s="143">
        <v>1</v>
      </c>
      <c r="AA32" s="83">
        <v>0</v>
      </c>
    </row>
    <row r="33" spans="1:27">
      <c r="A33" s="136" t="s">
        <v>1151</v>
      </c>
      <c r="B33" s="136" t="s">
        <v>1284</v>
      </c>
      <c r="C33" s="136" t="s">
        <v>1133</v>
      </c>
      <c r="D33" s="136" t="s">
        <v>1333</v>
      </c>
      <c r="E33" s="136" t="s">
        <v>1283</v>
      </c>
      <c r="F33" s="136" t="s">
        <v>1284</v>
      </c>
      <c r="M33" s="136" t="s">
        <v>1285</v>
      </c>
      <c r="N33" s="136" t="s">
        <v>574</v>
      </c>
      <c r="O33" s="140">
        <v>43706</v>
      </c>
      <c r="P33" s="140">
        <v>43717</v>
      </c>
      <c r="Q33" s="140">
        <v>43730</v>
      </c>
      <c r="R33" s="141">
        <v>43736</v>
      </c>
      <c r="S33" s="138">
        <v>39</v>
      </c>
      <c r="T33" s="138">
        <v>0</v>
      </c>
      <c r="U33" s="85">
        <v>0</v>
      </c>
      <c r="V33" s="83">
        <v>1</v>
      </c>
      <c r="W33" s="143">
        <v>1</v>
      </c>
      <c r="X33" s="143">
        <v>1</v>
      </c>
      <c r="AA33" s="83">
        <v>0</v>
      </c>
    </row>
    <row r="34" spans="1:27">
      <c r="A34" s="136" t="s">
        <v>1151</v>
      </c>
      <c r="B34" s="136" t="s">
        <v>1286</v>
      </c>
      <c r="C34" s="136" t="s">
        <v>1133</v>
      </c>
      <c r="D34" s="136" t="s">
        <v>1333</v>
      </c>
      <c r="E34" s="136" t="s">
        <v>1283</v>
      </c>
      <c r="F34" s="136" t="s">
        <v>1286</v>
      </c>
      <c r="M34" s="136" t="s">
        <v>1287</v>
      </c>
      <c r="N34" s="136" t="s">
        <v>574</v>
      </c>
      <c r="O34" s="140">
        <v>43706</v>
      </c>
      <c r="P34" s="140">
        <v>43717</v>
      </c>
      <c r="Q34" s="140">
        <v>43702</v>
      </c>
      <c r="R34" s="141">
        <v>43708</v>
      </c>
      <c r="S34" s="138">
        <v>35</v>
      </c>
      <c r="T34" s="138">
        <v>2</v>
      </c>
      <c r="U34" s="85">
        <v>2</v>
      </c>
      <c r="V34" s="83">
        <v>1</v>
      </c>
      <c r="W34" s="143">
        <v>1</v>
      </c>
      <c r="X34" s="143">
        <v>0.45</v>
      </c>
      <c r="AA34" s="83">
        <v>2</v>
      </c>
    </row>
    <row r="35" spans="1:27">
      <c r="A35" s="136" t="s">
        <v>1151</v>
      </c>
      <c r="B35" s="136" t="s">
        <v>1286</v>
      </c>
      <c r="C35" s="136" t="s">
        <v>1133</v>
      </c>
      <c r="D35" s="136" t="s">
        <v>1333</v>
      </c>
      <c r="E35" s="136" t="s">
        <v>1283</v>
      </c>
      <c r="F35" s="136" t="s">
        <v>1286</v>
      </c>
      <c r="M35" s="136" t="s">
        <v>1287</v>
      </c>
      <c r="N35" s="136" t="s">
        <v>574</v>
      </c>
      <c r="O35" s="140">
        <v>43706</v>
      </c>
      <c r="P35" s="140">
        <v>43717</v>
      </c>
      <c r="Q35" s="140">
        <v>43709</v>
      </c>
      <c r="R35" s="141">
        <v>43715</v>
      </c>
      <c r="S35" s="138">
        <v>36</v>
      </c>
      <c r="T35" s="138">
        <v>5</v>
      </c>
      <c r="U35" s="85">
        <v>5</v>
      </c>
      <c r="V35" s="83">
        <v>1</v>
      </c>
      <c r="W35" s="143">
        <v>1</v>
      </c>
      <c r="X35" s="143">
        <v>0.45</v>
      </c>
      <c r="AA35" s="83">
        <v>1.6</v>
      </c>
    </row>
    <row r="36" spans="1:27">
      <c r="A36" s="136" t="s">
        <v>1151</v>
      </c>
      <c r="B36" s="136" t="s">
        <v>1286</v>
      </c>
      <c r="C36" s="136" t="s">
        <v>1133</v>
      </c>
      <c r="D36" s="136" t="s">
        <v>1333</v>
      </c>
      <c r="E36" s="136" t="s">
        <v>1283</v>
      </c>
      <c r="F36" s="136" t="s">
        <v>1286</v>
      </c>
      <c r="M36" s="136" t="s">
        <v>1287</v>
      </c>
      <c r="N36" s="136" t="s">
        <v>574</v>
      </c>
      <c r="O36" s="140">
        <v>43706</v>
      </c>
      <c r="P36" s="140">
        <v>43717</v>
      </c>
      <c r="Q36" s="140">
        <v>43716</v>
      </c>
      <c r="R36" s="141">
        <v>43722</v>
      </c>
      <c r="S36" s="138">
        <v>37</v>
      </c>
      <c r="T36" s="138">
        <v>1</v>
      </c>
      <c r="U36" s="85">
        <v>1</v>
      </c>
      <c r="V36" s="83">
        <v>1</v>
      </c>
      <c r="W36" s="143">
        <v>1</v>
      </c>
      <c r="X36" s="143">
        <v>0.45</v>
      </c>
      <c r="AA36" s="83">
        <v>0</v>
      </c>
    </row>
    <row r="37" spans="1:27">
      <c r="A37" s="136" t="s">
        <v>1150</v>
      </c>
      <c r="B37" s="136" t="s">
        <v>1288</v>
      </c>
      <c r="C37" s="136" t="s">
        <v>1133</v>
      </c>
      <c r="D37" s="136" t="s">
        <v>1334</v>
      </c>
      <c r="E37" s="136" t="s">
        <v>1288</v>
      </c>
      <c r="M37" s="136" t="s">
        <v>1289</v>
      </c>
      <c r="N37" s="136" t="s">
        <v>574</v>
      </c>
      <c r="O37" s="140">
        <v>43720</v>
      </c>
      <c r="P37" s="140">
        <v>43738</v>
      </c>
      <c r="Q37" s="140">
        <v>43716</v>
      </c>
      <c r="R37" s="141">
        <v>43722</v>
      </c>
      <c r="S37" s="138">
        <v>37</v>
      </c>
      <c r="T37" s="138">
        <v>0</v>
      </c>
      <c r="U37" s="85">
        <v>0</v>
      </c>
      <c r="V37" s="83">
        <v>1</v>
      </c>
      <c r="W37" s="143">
        <v>0.81818181818181823</v>
      </c>
      <c r="X37" s="143">
        <v>0</v>
      </c>
      <c r="AA37" s="83">
        <v>0</v>
      </c>
    </row>
    <row r="38" spans="1:27">
      <c r="A38" s="136" t="s">
        <v>1150</v>
      </c>
      <c r="B38" s="136" t="s">
        <v>1288</v>
      </c>
      <c r="C38" s="136" t="s">
        <v>1133</v>
      </c>
      <c r="D38" s="136" t="s">
        <v>1334</v>
      </c>
      <c r="E38" s="136" t="s">
        <v>1288</v>
      </c>
      <c r="M38" s="136" t="s">
        <v>1289</v>
      </c>
      <c r="N38" s="136" t="s">
        <v>574</v>
      </c>
      <c r="O38" s="140">
        <v>43720</v>
      </c>
      <c r="P38" s="140">
        <v>43738</v>
      </c>
      <c r="Q38" s="140">
        <v>43723</v>
      </c>
      <c r="R38" s="141">
        <v>43729</v>
      </c>
      <c r="S38" s="138">
        <v>38</v>
      </c>
      <c r="T38" s="138">
        <v>5</v>
      </c>
      <c r="U38" s="85">
        <v>5</v>
      </c>
      <c r="V38" s="83">
        <v>1</v>
      </c>
      <c r="W38" s="143">
        <v>0.81818181818181823</v>
      </c>
      <c r="X38" s="143">
        <v>0</v>
      </c>
      <c r="AA38" s="83">
        <v>0</v>
      </c>
    </row>
    <row r="39" spans="1:27">
      <c r="A39" s="136" t="s">
        <v>1150</v>
      </c>
      <c r="B39" s="136" t="s">
        <v>1288</v>
      </c>
      <c r="C39" s="136" t="s">
        <v>1133</v>
      </c>
      <c r="D39" s="136" t="s">
        <v>1334</v>
      </c>
      <c r="E39" s="136" t="s">
        <v>1288</v>
      </c>
      <c r="M39" s="136" t="s">
        <v>1289</v>
      </c>
      <c r="N39" s="136" t="s">
        <v>574</v>
      </c>
      <c r="O39" s="140">
        <v>43720</v>
      </c>
      <c r="P39" s="140">
        <v>43738</v>
      </c>
      <c r="Q39" s="140">
        <v>43730</v>
      </c>
      <c r="R39" s="141">
        <v>43736</v>
      </c>
      <c r="S39" s="138">
        <v>39</v>
      </c>
      <c r="T39" s="138">
        <v>5</v>
      </c>
      <c r="U39" s="85">
        <v>4</v>
      </c>
      <c r="V39" s="83">
        <v>1</v>
      </c>
      <c r="W39" s="143">
        <v>0.81818181818181823</v>
      </c>
      <c r="X39" s="143">
        <v>0</v>
      </c>
      <c r="AA39" s="83">
        <v>0</v>
      </c>
    </row>
    <row r="40" spans="1:27">
      <c r="A40" s="136" t="s">
        <v>1150</v>
      </c>
      <c r="B40" s="136" t="s">
        <v>1288</v>
      </c>
      <c r="C40" s="136" t="s">
        <v>1133</v>
      </c>
      <c r="D40" s="136" t="s">
        <v>1334</v>
      </c>
      <c r="E40" s="136" t="s">
        <v>1288</v>
      </c>
      <c r="M40" s="136" t="s">
        <v>1289</v>
      </c>
      <c r="N40" s="136" t="s">
        <v>574</v>
      </c>
      <c r="O40" s="140">
        <v>43720</v>
      </c>
      <c r="P40" s="140">
        <v>43738</v>
      </c>
      <c r="Q40" s="140">
        <v>43737</v>
      </c>
      <c r="R40" s="141">
        <v>43743</v>
      </c>
      <c r="S40" s="138">
        <v>40</v>
      </c>
      <c r="T40" s="138">
        <v>1</v>
      </c>
      <c r="U40" s="85">
        <v>0</v>
      </c>
      <c r="V40" s="83">
        <v>1</v>
      </c>
      <c r="W40" s="143">
        <v>0.81818181818181823</v>
      </c>
      <c r="X40" s="143">
        <v>0</v>
      </c>
      <c r="AA40" s="83">
        <v>0</v>
      </c>
    </row>
    <row r="41" spans="1:27">
      <c r="A41" s="136" t="s">
        <v>1151</v>
      </c>
      <c r="B41" s="136" t="s">
        <v>1291</v>
      </c>
      <c r="C41" s="136" t="s">
        <v>1133</v>
      </c>
      <c r="D41" s="136" t="s">
        <v>1334</v>
      </c>
      <c r="E41" s="136" t="s">
        <v>1290</v>
      </c>
      <c r="F41" s="136" t="s">
        <v>1291</v>
      </c>
      <c r="M41" s="136" t="s">
        <v>1292</v>
      </c>
      <c r="N41" s="136" t="s">
        <v>574</v>
      </c>
      <c r="O41" s="140">
        <v>43727</v>
      </c>
      <c r="P41" s="140">
        <v>43738</v>
      </c>
      <c r="Q41" s="140">
        <v>43723</v>
      </c>
      <c r="R41" s="141">
        <v>43729</v>
      </c>
      <c r="S41" s="138">
        <v>38</v>
      </c>
      <c r="T41" s="138">
        <v>2</v>
      </c>
      <c r="U41" s="85">
        <v>2</v>
      </c>
      <c r="V41" s="83">
        <v>1</v>
      </c>
      <c r="W41" s="143">
        <v>0.75</v>
      </c>
      <c r="X41" s="143">
        <v>0</v>
      </c>
      <c r="AA41" s="83">
        <v>0</v>
      </c>
    </row>
    <row r="42" spans="1:27">
      <c r="A42" s="136" t="s">
        <v>1151</v>
      </c>
      <c r="B42" s="136" t="s">
        <v>1291</v>
      </c>
      <c r="C42" s="136" t="s">
        <v>1133</v>
      </c>
      <c r="D42" s="136" t="s">
        <v>1334</v>
      </c>
      <c r="E42" s="136" t="s">
        <v>1290</v>
      </c>
      <c r="F42" s="136" t="s">
        <v>1291</v>
      </c>
      <c r="M42" s="136" t="s">
        <v>1292</v>
      </c>
      <c r="N42" s="136" t="s">
        <v>574</v>
      </c>
      <c r="O42" s="140">
        <v>43727</v>
      </c>
      <c r="P42" s="140">
        <v>43738</v>
      </c>
      <c r="Q42" s="140">
        <v>43730</v>
      </c>
      <c r="R42" s="141">
        <v>43736</v>
      </c>
      <c r="S42" s="138">
        <v>39</v>
      </c>
      <c r="T42" s="138">
        <v>5</v>
      </c>
      <c r="U42" s="85">
        <v>4</v>
      </c>
      <c r="V42" s="83">
        <v>1</v>
      </c>
      <c r="W42" s="143">
        <v>0.75</v>
      </c>
      <c r="X42" s="143">
        <v>0</v>
      </c>
      <c r="AA42" s="83">
        <v>0</v>
      </c>
    </row>
    <row r="43" spans="1:27">
      <c r="A43" s="136" t="s">
        <v>1151</v>
      </c>
      <c r="B43" s="136" t="s">
        <v>1291</v>
      </c>
      <c r="C43" s="136" t="s">
        <v>1133</v>
      </c>
      <c r="D43" s="136" t="s">
        <v>1334</v>
      </c>
      <c r="E43" s="136" t="s">
        <v>1290</v>
      </c>
      <c r="F43" s="136" t="s">
        <v>1291</v>
      </c>
      <c r="M43" s="136" t="s">
        <v>1292</v>
      </c>
      <c r="N43" s="136" t="s">
        <v>574</v>
      </c>
      <c r="O43" s="140">
        <v>43727</v>
      </c>
      <c r="P43" s="140">
        <v>43738</v>
      </c>
      <c r="Q43" s="140">
        <v>43737</v>
      </c>
      <c r="R43" s="141">
        <v>43743</v>
      </c>
      <c r="S43" s="138">
        <v>40</v>
      </c>
      <c r="T43" s="138">
        <v>1</v>
      </c>
      <c r="U43" s="85">
        <v>0</v>
      </c>
      <c r="V43" s="83">
        <v>1</v>
      </c>
      <c r="W43" s="143">
        <v>0.75</v>
      </c>
      <c r="X43" s="143">
        <v>0</v>
      </c>
      <c r="AA43" s="83">
        <v>0</v>
      </c>
    </row>
    <row r="44" spans="1:27">
      <c r="A44" s="136" t="s">
        <v>1151</v>
      </c>
      <c r="B44" s="136" t="s">
        <v>1293</v>
      </c>
      <c r="C44" s="136" t="s">
        <v>1133</v>
      </c>
      <c r="D44" s="136" t="s">
        <v>1334</v>
      </c>
      <c r="E44" s="136" t="s">
        <v>1290</v>
      </c>
      <c r="F44" s="136" t="s">
        <v>1293</v>
      </c>
      <c r="M44" s="136" t="s">
        <v>1294</v>
      </c>
      <c r="N44" s="136" t="s">
        <v>574</v>
      </c>
      <c r="O44" s="140">
        <v>43734</v>
      </c>
      <c r="P44" s="140">
        <v>43745</v>
      </c>
      <c r="Q44" s="140">
        <v>43730</v>
      </c>
      <c r="R44" s="141">
        <v>43736</v>
      </c>
      <c r="S44" s="138">
        <v>39</v>
      </c>
      <c r="T44" s="138">
        <v>2</v>
      </c>
      <c r="U44" s="85">
        <v>1</v>
      </c>
      <c r="V44" s="83">
        <v>1</v>
      </c>
      <c r="W44" s="143">
        <v>0.14285714285714285</v>
      </c>
      <c r="X44" s="143">
        <v>0</v>
      </c>
      <c r="AA44" s="83">
        <v>0</v>
      </c>
    </row>
    <row r="45" spans="1:27">
      <c r="A45" s="136" t="s">
        <v>1151</v>
      </c>
      <c r="B45" s="136" t="s">
        <v>1293</v>
      </c>
      <c r="C45" s="136" t="s">
        <v>1133</v>
      </c>
      <c r="D45" s="136" t="s">
        <v>1334</v>
      </c>
      <c r="E45" s="136" t="s">
        <v>1290</v>
      </c>
      <c r="F45" s="136" t="s">
        <v>1293</v>
      </c>
      <c r="M45" s="136" t="s">
        <v>1294</v>
      </c>
      <c r="N45" s="136" t="s">
        <v>574</v>
      </c>
      <c r="O45" s="140">
        <v>43734</v>
      </c>
      <c r="P45" s="140">
        <v>43745</v>
      </c>
      <c r="Q45" s="140">
        <v>43737</v>
      </c>
      <c r="R45" s="141">
        <v>43743</v>
      </c>
      <c r="S45" s="138">
        <v>40</v>
      </c>
      <c r="T45" s="138">
        <v>4</v>
      </c>
      <c r="U45" s="85">
        <v>0</v>
      </c>
      <c r="V45" s="83">
        <v>1</v>
      </c>
      <c r="W45" s="143">
        <v>0.14285714285714285</v>
      </c>
      <c r="X45" s="143">
        <v>0</v>
      </c>
      <c r="AA45" s="83">
        <v>0</v>
      </c>
    </row>
    <row r="46" spans="1:27">
      <c r="A46" s="136" t="s">
        <v>1151</v>
      </c>
      <c r="B46" s="136" t="s">
        <v>1293</v>
      </c>
      <c r="C46" s="136" t="s">
        <v>1133</v>
      </c>
      <c r="D46" s="136" t="s">
        <v>1334</v>
      </c>
      <c r="E46" s="136" t="s">
        <v>1290</v>
      </c>
      <c r="F46" s="136" t="s">
        <v>1293</v>
      </c>
      <c r="M46" s="136" t="s">
        <v>1294</v>
      </c>
      <c r="N46" s="136" t="s">
        <v>574</v>
      </c>
      <c r="O46" s="140">
        <v>43734</v>
      </c>
      <c r="P46" s="140">
        <v>43745</v>
      </c>
      <c r="Q46" s="140">
        <v>43744</v>
      </c>
      <c r="R46" s="141">
        <v>43750</v>
      </c>
      <c r="S46" s="138">
        <v>41</v>
      </c>
      <c r="T46" s="138">
        <v>1</v>
      </c>
      <c r="U46" s="85">
        <v>0</v>
      </c>
      <c r="V46" s="83">
        <v>1</v>
      </c>
      <c r="W46" s="143">
        <v>0.14285714285714285</v>
      </c>
      <c r="X46" s="143">
        <v>0</v>
      </c>
      <c r="AA46" s="83">
        <v>0</v>
      </c>
    </row>
    <row r="47" spans="1:27">
      <c r="A47" s="136" t="s">
        <v>1151</v>
      </c>
      <c r="B47" s="136" t="s">
        <v>1295</v>
      </c>
      <c r="C47" s="136" t="s">
        <v>1133</v>
      </c>
      <c r="D47" s="136" t="s">
        <v>1334</v>
      </c>
      <c r="E47" s="136" t="s">
        <v>1290</v>
      </c>
      <c r="F47" s="136" t="s">
        <v>1295</v>
      </c>
      <c r="M47" s="136" t="s">
        <v>1296</v>
      </c>
      <c r="N47" s="136" t="s">
        <v>574</v>
      </c>
      <c r="O47" s="140">
        <v>43734</v>
      </c>
      <c r="P47" s="140">
        <v>43752</v>
      </c>
      <c r="Q47" s="140">
        <v>43730</v>
      </c>
      <c r="R47" s="141">
        <v>43736</v>
      </c>
      <c r="S47" s="138">
        <v>39</v>
      </c>
      <c r="T47" s="138">
        <v>2</v>
      </c>
      <c r="U47" s="85">
        <v>1</v>
      </c>
      <c r="V47" s="83">
        <v>1</v>
      </c>
      <c r="W47" s="143">
        <v>9.0909090909090912E-2</v>
      </c>
      <c r="X47" s="143">
        <v>0</v>
      </c>
      <c r="AA47" s="83">
        <v>0</v>
      </c>
    </row>
    <row r="48" spans="1:27">
      <c r="A48" s="136" t="s">
        <v>1151</v>
      </c>
      <c r="B48" s="136" t="s">
        <v>1295</v>
      </c>
      <c r="C48" s="136" t="s">
        <v>1133</v>
      </c>
      <c r="D48" s="136" t="s">
        <v>1334</v>
      </c>
      <c r="E48" s="136" t="s">
        <v>1290</v>
      </c>
      <c r="F48" s="136" t="s">
        <v>1295</v>
      </c>
      <c r="M48" s="136" t="s">
        <v>1296</v>
      </c>
      <c r="N48" s="136" t="s">
        <v>574</v>
      </c>
      <c r="O48" s="140">
        <v>43734</v>
      </c>
      <c r="P48" s="140">
        <v>43752</v>
      </c>
      <c r="Q48" s="140">
        <v>43737</v>
      </c>
      <c r="R48" s="141">
        <v>43743</v>
      </c>
      <c r="S48" s="138">
        <v>40</v>
      </c>
      <c r="T48" s="138">
        <v>4</v>
      </c>
      <c r="U48" s="85">
        <v>0</v>
      </c>
      <c r="V48" s="83">
        <v>1</v>
      </c>
      <c r="W48" s="143">
        <v>9.0909090909090912E-2</v>
      </c>
      <c r="X48" s="143">
        <v>0</v>
      </c>
      <c r="AA48" s="83">
        <v>0</v>
      </c>
    </row>
    <row r="49" spans="1:27">
      <c r="A49" s="136" t="s">
        <v>1151</v>
      </c>
      <c r="B49" s="136" t="s">
        <v>1295</v>
      </c>
      <c r="C49" s="136" t="s">
        <v>1133</v>
      </c>
      <c r="D49" s="136" t="s">
        <v>1334</v>
      </c>
      <c r="E49" s="136" t="s">
        <v>1290</v>
      </c>
      <c r="F49" s="136" t="s">
        <v>1295</v>
      </c>
      <c r="M49" s="136" t="s">
        <v>1296</v>
      </c>
      <c r="N49" s="136" t="s">
        <v>574</v>
      </c>
      <c r="O49" s="140">
        <v>43734</v>
      </c>
      <c r="P49" s="140">
        <v>43752</v>
      </c>
      <c r="Q49" s="140">
        <v>43744</v>
      </c>
      <c r="R49" s="141">
        <v>43750</v>
      </c>
      <c r="S49" s="138">
        <v>41</v>
      </c>
      <c r="T49" s="138">
        <v>4</v>
      </c>
      <c r="U49" s="85">
        <v>0</v>
      </c>
      <c r="V49" s="83">
        <v>1</v>
      </c>
      <c r="W49" s="143">
        <v>9.0909090909090912E-2</v>
      </c>
      <c r="X49" s="143">
        <v>0</v>
      </c>
      <c r="AA49" s="83">
        <v>0</v>
      </c>
    </row>
    <row r="50" spans="1:27">
      <c r="A50" s="136" t="s">
        <v>1151</v>
      </c>
      <c r="B50" s="136" t="s">
        <v>1295</v>
      </c>
      <c r="C50" s="136" t="s">
        <v>1133</v>
      </c>
      <c r="D50" s="136" t="s">
        <v>1334</v>
      </c>
      <c r="E50" s="136" t="s">
        <v>1290</v>
      </c>
      <c r="F50" s="136" t="s">
        <v>1295</v>
      </c>
      <c r="M50" s="136" t="s">
        <v>1296</v>
      </c>
      <c r="N50" s="136" t="s">
        <v>574</v>
      </c>
      <c r="O50" s="140">
        <v>43734</v>
      </c>
      <c r="P50" s="140">
        <v>43752</v>
      </c>
      <c r="Q50" s="140">
        <v>43751</v>
      </c>
      <c r="R50" s="141">
        <v>43757</v>
      </c>
      <c r="S50" s="138">
        <v>42</v>
      </c>
      <c r="T50" s="138">
        <v>1</v>
      </c>
      <c r="U50" s="85">
        <v>0</v>
      </c>
      <c r="V50" s="83">
        <v>1</v>
      </c>
      <c r="W50" s="143">
        <v>9.0909090909090912E-2</v>
      </c>
      <c r="X50" s="143">
        <v>0</v>
      </c>
      <c r="AA50" s="83">
        <v>0</v>
      </c>
    </row>
    <row r="51" spans="1:27">
      <c r="A51" s="136" t="s">
        <v>1150</v>
      </c>
      <c r="B51" s="136" t="s">
        <v>1297</v>
      </c>
      <c r="C51" s="136" t="s">
        <v>1133</v>
      </c>
      <c r="D51" s="136" t="s">
        <v>1334</v>
      </c>
      <c r="E51" s="136" t="s">
        <v>1297</v>
      </c>
      <c r="M51" s="136" t="s">
        <v>1298</v>
      </c>
      <c r="N51" s="136" t="s">
        <v>574</v>
      </c>
      <c r="O51" s="140">
        <v>43755</v>
      </c>
      <c r="P51" s="140">
        <v>43759</v>
      </c>
      <c r="Q51" s="140">
        <v>43751</v>
      </c>
      <c r="R51" s="141">
        <v>43757</v>
      </c>
      <c r="S51" s="138">
        <v>42</v>
      </c>
      <c r="T51" s="138">
        <v>2</v>
      </c>
      <c r="U51" s="85">
        <v>0</v>
      </c>
      <c r="V51" s="83">
        <v>1</v>
      </c>
      <c r="W51" s="143">
        <v>0</v>
      </c>
      <c r="X51" s="143">
        <v>0</v>
      </c>
      <c r="AA51" s="83">
        <v>0</v>
      </c>
    </row>
    <row r="52" spans="1:27">
      <c r="A52" s="136" t="s">
        <v>1150</v>
      </c>
      <c r="B52" s="136" t="s">
        <v>1297</v>
      </c>
      <c r="C52" s="136" t="s">
        <v>1133</v>
      </c>
      <c r="D52" s="136" t="s">
        <v>1334</v>
      </c>
      <c r="E52" s="136" t="s">
        <v>1297</v>
      </c>
      <c r="M52" s="136" t="s">
        <v>1298</v>
      </c>
      <c r="N52" s="136" t="s">
        <v>574</v>
      </c>
      <c r="O52" s="140">
        <v>43755</v>
      </c>
      <c r="P52" s="140">
        <v>43759</v>
      </c>
      <c r="Q52" s="140">
        <v>43758</v>
      </c>
      <c r="R52" s="141">
        <v>43764</v>
      </c>
      <c r="S52" s="138">
        <v>43</v>
      </c>
      <c r="T52" s="138">
        <v>1</v>
      </c>
      <c r="U52" s="85">
        <v>0</v>
      </c>
      <c r="V52" s="83">
        <v>1</v>
      </c>
      <c r="W52" s="143">
        <v>0</v>
      </c>
      <c r="X52" s="143">
        <v>0</v>
      </c>
      <c r="AA52" s="83">
        <v>0</v>
      </c>
    </row>
    <row r="53" spans="1:27">
      <c r="A53" s="136" t="s">
        <v>1151</v>
      </c>
      <c r="B53" s="136" t="s">
        <v>1300</v>
      </c>
      <c r="C53" s="136" t="s">
        <v>1133</v>
      </c>
      <c r="D53" s="136" t="s">
        <v>1335</v>
      </c>
      <c r="E53" s="136" t="s">
        <v>1299</v>
      </c>
      <c r="F53" s="136" t="s">
        <v>1300</v>
      </c>
      <c r="M53" s="136" t="s">
        <v>1301</v>
      </c>
      <c r="N53" s="136" t="s">
        <v>574</v>
      </c>
      <c r="O53" s="140">
        <v>43755</v>
      </c>
      <c r="P53" s="140">
        <v>43759</v>
      </c>
      <c r="Q53" s="140">
        <v>43751</v>
      </c>
      <c r="R53" s="141">
        <v>43757</v>
      </c>
      <c r="S53" s="138">
        <v>42</v>
      </c>
      <c r="T53" s="138">
        <v>2</v>
      </c>
      <c r="U53" s="85">
        <v>0</v>
      </c>
      <c r="V53" s="83">
        <v>1</v>
      </c>
      <c r="W53" s="143">
        <v>0</v>
      </c>
      <c r="X53" s="143">
        <v>0</v>
      </c>
      <c r="AA53" s="83">
        <v>0</v>
      </c>
    </row>
    <row r="54" spans="1:27">
      <c r="A54" s="136" t="s">
        <v>1151</v>
      </c>
      <c r="B54" s="136" t="s">
        <v>1300</v>
      </c>
      <c r="C54" s="136" t="s">
        <v>1133</v>
      </c>
      <c r="D54" s="136" t="s">
        <v>1335</v>
      </c>
      <c r="E54" s="136" t="s">
        <v>1299</v>
      </c>
      <c r="F54" s="136" t="s">
        <v>1300</v>
      </c>
      <c r="M54" s="136" t="s">
        <v>1301</v>
      </c>
      <c r="N54" s="136" t="s">
        <v>574</v>
      </c>
      <c r="O54" s="140">
        <v>43755</v>
      </c>
      <c r="P54" s="140">
        <v>43759</v>
      </c>
      <c r="Q54" s="140">
        <v>43758</v>
      </c>
      <c r="R54" s="141">
        <v>43764</v>
      </c>
      <c r="S54" s="138">
        <v>43</v>
      </c>
      <c r="T54" s="138">
        <v>1</v>
      </c>
      <c r="U54" s="85">
        <v>0</v>
      </c>
      <c r="V54" s="83">
        <v>1</v>
      </c>
      <c r="W54" s="143">
        <v>0</v>
      </c>
      <c r="X54" s="143">
        <v>0</v>
      </c>
      <c r="AA54" s="83">
        <v>0</v>
      </c>
    </row>
    <row r="55" spans="1:27">
      <c r="A55" s="136" t="s">
        <v>1169</v>
      </c>
      <c r="B55" s="136" t="s">
        <v>1304</v>
      </c>
      <c r="C55" s="136" t="s">
        <v>1133</v>
      </c>
      <c r="D55" s="136" t="s">
        <v>1335</v>
      </c>
      <c r="E55" s="136" t="s">
        <v>1299</v>
      </c>
      <c r="F55" s="136" t="s">
        <v>1302</v>
      </c>
      <c r="G55" s="136" t="s">
        <v>1303</v>
      </c>
      <c r="H55" s="136" t="s">
        <v>1304</v>
      </c>
      <c r="M55" s="136" t="s">
        <v>1305</v>
      </c>
      <c r="N55" s="136" t="s">
        <v>574</v>
      </c>
      <c r="O55" s="140">
        <v>43755</v>
      </c>
      <c r="P55" s="140">
        <v>43759</v>
      </c>
      <c r="Q55" s="140">
        <v>43751</v>
      </c>
      <c r="R55" s="141">
        <v>43757</v>
      </c>
      <c r="S55" s="138">
        <v>42</v>
      </c>
      <c r="T55" s="138">
        <v>2</v>
      </c>
      <c r="U55" s="85">
        <v>0</v>
      </c>
      <c r="V55" s="83">
        <v>1</v>
      </c>
      <c r="W55" s="143">
        <v>0</v>
      </c>
      <c r="X55" s="143">
        <v>0</v>
      </c>
      <c r="AA55" s="83">
        <v>0</v>
      </c>
    </row>
    <row r="56" spans="1:27">
      <c r="A56" s="136" t="s">
        <v>1169</v>
      </c>
      <c r="B56" s="136" t="s">
        <v>1304</v>
      </c>
      <c r="C56" s="136" t="s">
        <v>1133</v>
      </c>
      <c r="D56" s="136" t="s">
        <v>1335</v>
      </c>
      <c r="E56" s="136" t="s">
        <v>1299</v>
      </c>
      <c r="F56" s="136" t="s">
        <v>1302</v>
      </c>
      <c r="G56" s="136" t="s">
        <v>1303</v>
      </c>
      <c r="H56" s="136" t="s">
        <v>1304</v>
      </c>
      <c r="M56" s="136" t="s">
        <v>1305</v>
      </c>
      <c r="N56" s="136" t="s">
        <v>574</v>
      </c>
      <c r="O56" s="140">
        <v>43755</v>
      </c>
      <c r="P56" s="140">
        <v>43759</v>
      </c>
      <c r="Q56" s="140">
        <v>43758</v>
      </c>
      <c r="R56" s="141">
        <v>43764</v>
      </c>
      <c r="S56" s="138">
        <v>43</v>
      </c>
      <c r="T56" s="138">
        <v>1</v>
      </c>
      <c r="U56" s="85">
        <v>0</v>
      </c>
      <c r="V56" s="83">
        <v>1</v>
      </c>
      <c r="W56" s="143">
        <v>0</v>
      </c>
      <c r="X56" s="143">
        <v>0</v>
      </c>
      <c r="AA56" s="83">
        <v>0</v>
      </c>
    </row>
    <row r="57" spans="1:27">
      <c r="A57" s="136" t="s">
        <v>1169</v>
      </c>
      <c r="B57" s="136" t="s">
        <v>1306</v>
      </c>
      <c r="C57" s="136" t="s">
        <v>1133</v>
      </c>
      <c r="D57" s="136" t="s">
        <v>1335</v>
      </c>
      <c r="E57" s="136" t="s">
        <v>1299</v>
      </c>
      <c r="F57" s="136" t="s">
        <v>1302</v>
      </c>
      <c r="G57" s="136" t="s">
        <v>1303</v>
      </c>
      <c r="H57" s="136" t="s">
        <v>1306</v>
      </c>
      <c r="M57" s="136" t="s">
        <v>1307</v>
      </c>
      <c r="N57" s="136" t="s">
        <v>574</v>
      </c>
      <c r="O57" s="140">
        <v>43762</v>
      </c>
      <c r="P57" s="140">
        <v>43766</v>
      </c>
      <c r="Q57" s="140">
        <v>43758</v>
      </c>
      <c r="R57" s="141">
        <v>43764</v>
      </c>
      <c r="S57" s="138">
        <v>43</v>
      </c>
      <c r="T57" s="138">
        <v>2</v>
      </c>
      <c r="U57" s="85">
        <v>0</v>
      </c>
      <c r="V57" s="83">
        <v>1</v>
      </c>
      <c r="W57" s="143">
        <v>0</v>
      </c>
      <c r="X57" s="143">
        <v>0</v>
      </c>
      <c r="AA57" s="83">
        <v>0</v>
      </c>
    </row>
    <row r="58" spans="1:27">
      <c r="A58" s="136" t="s">
        <v>1169</v>
      </c>
      <c r="B58" s="136" t="s">
        <v>1306</v>
      </c>
      <c r="C58" s="136" t="s">
        <v>1133</v>
      </c>
      <c r="D58" s="136" t="s">
        <v>1335</v>
      </c>
      <c r="E58" s="136" t="s">
        <v>1299</v>
      </c>
      <c r="F58" s="136" t="s">
        <v>1302</v>
      </c>
      <c r="G58" s="136" t="s">
        <v>1303</v>
      </c>
      <c r="H58" s="136" t="s">
        <v>1306</v>
      </c>
      <c r="M58" s="136" t="s">
        <v>1307</v>
      </c>
      <c r="N58" s="136" t="s">
        <v>574</v>
      </c>
      <c r="O58" s="140">
        <v>43762</v>
      </c>
      <c r="P58" s="140">
        <v>43766</v>
      </c>
      <c r="Q58" s="140">
        <v>43765</v>
      </c>
      <c r="R58" s="141">
        <v>43771</v>
      </c>
      <c r="S58" s="138">
        <v>44</v>
      </c>
      <c r="T58" s="138">
        <v>1</v>
      </c>
      <c r="U58" s="85">
        <v>0</v>
      </c>
      <c r="V58" s="83">
        <v>1</v>
      </c>
      <c r="W58" s="143">
        <v>0</v>
      </c>
      <c r="X58" s="143">
        <v>0</v>
      </c>
      <c r="AA58" s="83">
        <v>0</v>
      </c>
    </row>
    <row r="59" spans="1:27">
      <c r="A59" s="136" t="s">
        <v>1169</v>
      </c>
      <c r="B59" s="136" t="s">
        <v>1308</v>
      </c>
      <c r="C59" s="136" t="s">
        <v>1133</v>
      </c>
      <c r="D59" s="136" t="s">
        <v>1335</v>
      </c>
      <c r="E59" s="136" t="s">
        <v>1299</v>
      </c>
      <c r="F59" s="136" t="s">
        <v>1302</v>
      </c>
      <c r="G59" s="136" t="s">
        <v>1303</v>
      </c>
      <c r="H59" s="136" t="s">
        <v>1308</v>
      </c>
      <c r="M59" s="136" t="s">
        <v>1309</v>
      </c>
      <c r="N59" s="136" t="s">
        <v>574</v>
      </c>
      <c r="O59" s="140">
        <v>43762</v>
      </c>
      <c r="P59" s="140">
        <v>43773</v>
      </c>
      <c r="Q59" s="140">
        <v>43758</v>
      </c>
      <c r="R59" s="141">
        <v>43764</v>
      </c>
      <c r="S59" s="138">
        <v>43</v>
      </c>
      <c r="T59" s="138">
        <v>2</v>
      </c>
      <c r="U59" s="85">
        <v>0</v>
      </c>
      <c r="V59" s="83">
        <v>1</v>
      </c>
      <c r="W59" s="143">
        <v>0</v>
      </c>
      <c r="X59" s="143">
        <v>0</v>
      </c>
      <c r="AA59" s="83">
        <v>0</v>
      </c>
    </row>
    <row r="60" spans="1:27">
      <c r="A60" s="136" t="s">
        <v>1169</v>
      </c>
      <c r="B60" s="136" t="s">
        <v>1308</v>
      </c>
      <c r="C60" s="136" t="s">
        <v>1133</v>
      </c>
      <c r="D60" s="136" t="s">
        <v>1335</v>
      </c>
      <c r="E60" s="136" t="s">
        <v>1299</v>
      </c>
      <c r="F60" s="136" t="s">
        <v>1302</v>
      </c>
      <c r="G60" s="136" t="s">
        <v>1303</v>
      </c>
      <c r="H60" s="136" t="s">
        <v>1308</v>
      </c>
      <c r="M60" s="136" t="s">
        <v>1309</v>
      </c>
      <c r="N60" s="136" t="s">
        <v>574</v>
      </c>
      <c r="O60" s="140">
        <v>43762</v>
      </c>
      <c r="P60" s="140">
        <v>43773</v>
      </c>
      <c r="Q60" s="140">
        <v>43765</v>
      </c>
      <c r="R60" s="141">
        <v>43771</v>
      </c>
      <c r="S60" s="138">
        <v>44</v>
      </c>
      <c r="T60" s="138">
        <v>5</v>
      </c>
      <c r="U60" s="85">
        <v>0</v>
      </c>
      <c r="V60" s="83">
        <v>1</v>
      </c>
      <c r="W60" s="143">
        <v>0</v>
      </c>
      <c r="X60" s="143">
        <v>0</v>
      </c>
      <c r="AA60" s="83">
        <v>0</v>
      </c>
    </row>
    <row r="61" spans="1:27">
      <c r="A61" s="136" t="s">
        <v>1169</v>
      </c>
      <c r="B61" s="136" t="s">
        <v>1308</v>
      </c>
      <c r="C61" s="136" t="s">
        <v>1133</v>
      </c>
      <c r="D61" s="136" t="s">
        <v>1335</v>
      </c>
      <c r="E61" s="136" t="s">
        <v>1299</v>
      </c>
      <c r="F61" s="136" t="s">
        <v>1302</v>
      </c>
      <c r="G61" s="136" t="s">
        <v>1303</v>
      </c>
      <c r="H61" s="136" t="s">
        <v>1308</v>
      </c>
      <c r="M61" s="136" t="s">
        <v>1309</v>
      </c>
      <c r="N61" s="136" t="s">
        <v>574</v>
      </c>
      <c r="O61" s="140">
        <v>43762</v>
      </c>
      <c r="P61" s="140">
        <v>43773</v>
      </c>
      <c r="Q61" s="140">
        <v>43772</v>
      </c>
      <c r="R61" s="141">
        <v>43778</v>
      </c>
      <c r="S61" s="138">
        <v>45</v>
      </c>
      <c r="T61" s="138">
        <v>1</v>
      </c>
      <c r="U61" s="85">
        <v>0</v>
      </c>
      <c r="V61" s="83">
        <v>1</v>
      </c>
      <c r="W61" s="143">
        <v>0</v>
      </c>
      <c r="X61" s="143">
        <v>0</v>
      </c>
      <c r="AA61" s="83">
        <v>0</v>
      </c>
    </row>
    <row r="62" spans="1:27">
      <c r="A62" s="136" t="s">
        <v>1168</v>
      </c>
      <c r="B62" s="136" t="s">
        <v>1310</v>
      </c>
      <c r="C62" s="136" t="s">
        <v>1133</v>
      </c>
      <c r="D62" s="136" t="s">
        <v>1335</v>
      </c>
      <c r="E62" s="136" t="s">
        <v>1299</v>
      </c>
      <c r="F62" s="136" t="s">
        <v>1302</v>
      </c>
      <c r="G62" s="136" t="s">
        <v>1310</v>
      </c>
      <c r="M62" s="136" t="s">
        <v>1311</v>
      </c>
      <c r="N62" s="136" t="s">
        <v>574</v>
      </c>
      <c r="O62" s="140">
        <v>43755</v>
      </c>
      <c r="P62" s="140">
        <v>43814</v>
      </c>
      <c r="Q62" s="140">
        <v>43751</v>
      </c>
      <c r="R62" s="141">
        <v>43757</v>
      </c>
      <c r="S62" s="138">
        <v>42</v>
      </c>
      <c r="T62" s="138">
        <v>2</v>
      </c>
      <c r="U62" s="85">
        <v>0</v>
      </c>
      <c r="V62" s="83">
        <v>1</v>
      </c>
      <c r="W62" s="143">
        <v>0</v>
      </c>
      <c r="X62" s="143">
        <v>0</v>
      </c>
      <c r="AA62" s="83">
        <v>0</v>
      </c>
    </row>
    <row r="63" spans="1:27">
      <c r="A63" s="136" t="s">
        <v>1168</v>
      </c>
      <c r="B63" s="136" t="s">
        <v>1310</v>
      </c>
      <c r="C63" s="136" t="s">
        <v>1133</v>
      </c>
      <c r="D63" s="136" t="s">
        <v>1335</v>
      </c>
      <c r="E63" s="136" t="s">
        <v>1299</v>
      </c>
      <c r="F63" s="136" t="s">
        <v>1302</v>
      </c>
      <c r="G63" s="136" t="s">
        <v>1310</v>
      </c>
      <c r="M63" s="136" t="s">
        <v>1311</v>
      </c>
      <c r="N63" s="136" t="s">
        <v>574</v>
      </c>
      <c r="O63" s="140">
        <v>43755</v>
      </c>
      <c r="P63" s="140">
        <v>43814</v>
      </c>
      <c r="Q63" s="140">
        <v>43758</v>
      </c>
      <c r="R63" s="141">
        <v>43764</v>
      </c>
      <c r="S63" s="138">
        <v>43</v>
      </c>
      <c r="T63" s="138">
        <v>5</v>
      </c>
      <c r="U63" s="85">
        <v>0</v>
      </c>
      <c r="V63" s="83">
        <v>1</v>
      </c>
      <c r="W63" s="143">
        <v>0</v>
      </c>
      <c r="X63" s="143">
        <v>0</v>
      </c>
      <c r="AA63" s="83">
        <v>0</v>
      </c>
    </row>
    <row r="64" spans="1:27">
      <c r="A64" s="136" t="s">
        <v>1168</v>
      </c>
      <c r="B64" s="136" t="s">
        <v>1310</v>
      </c>
      <c r="C64" s="136" t="s">
        <v>1133</v>
      </c>
      <c r="D64" s="136" t="s">
        <v>1335</v>
      </c>
      <c r="E64" s="136" t="s">
        <v>1299</v>
      </c>
      <c r="F64" s="136" t="s">
        <v>1302</v>
      </c>
      <c r="G64" s="136" t="s">
        <v>1310</v>
      </c>
      <c r="M64" s="136" t="s">
        <v>1311</v>
      </c>
      <c r="N64" s="136" t="s">
        <v>574</v>
      </c>
      <c r="O64" s="140">
        <v>43755</v>
      </c>
      <c r="P64" s="140">
        <v>43814</v>
      </c>
      <c r="Q64" s="140">
        <v>43765</v>
      </c>
      <c r="R64" s="141">
        <v>43771</v>
      </c>
      <c r="S64" s="138">
        <v>44</v>
      </c>
      <c r="T64" s="138">
        <v>5</v>
      </c>
      <c r="U64" s="85">
        <v>0</v>
      </c>
      <c r="V64" s="83">
        <v>1</v>
      </c>
      <c r="W64" s="143">
        <v>0</v>
      </c>
      <c r="X64" s="143">
        <v>0</v>
      </c>
      <c r="AA64" s="83">
        <v>0</v>
      </c>
    </row>
    <row r="65" spans="1:27">
      <c r="A65" s="136" t="s">
        <v>1168</v>
      </c>
      <c r="B65" s="136" t="s">
        <v>1310</v>
      </c>
      <c r="C65" s="136" t="s">
        <v>1133</v>
      </c>
      <c r="D65" s="136" t="s">
        <v>1335</v>
      </c>
      <c r="E65" s="136" t="s">
        <v>1299</v>
      </c>
      <c r="F65" s="136" t="s">
        <v>1302</v>
      </c>
      <c r="G65" s="136" t="s">
        <v>1310</v>
      </c>
      <c r="M65" s="136" t="s">
        <v>1311</v>
      </c>
      <c r="N65" s="136" t="s">
        <v>574</v>
      </c>
      <c r="O65" s="140">
        <v>43755</v>
      </c>
      <c r="P65" s="140">
        <v>43814</v>
      </c>
      <c r="Q65" s="140">
        <v>43772</v>
      </c>
      <c r="R65" s="141">
        <v>43778</v>
      </c>
      <c r="S65" s="138">
        <v>45</v>
      </c>
      <c r="T65" s="138">
        <v>5</v>
      </c>
      <c r="U65" s="85">
        <v>0</v>
      </c>
      <c r="V65" s="83">
        <v>1</v>
      </c>
      <c r="W65" s="143">
        <v>0</v>
      </c>
      <c r="X65" s="143">
        <v>0</v>
      </c>
      <c r="AA65" s="83">
        <v>0</v>
      </c>
    </row>
    <row r="66" spans="1:27">
      <c r="A66" s="136" t="s">
        <v>1168</v>
      </c>
      <c r="B66" s="136" t="s">
        <v>1310</v>
      </c>
      <c r="C66" s="136" t="s">
        <v>1133</v>
      </c>
      <c r="D66" s="136" t="s">
        <v>1335</v>
      </c>
      <c r="E66" s="136" t="s">
        <v>1299</v>
      </c>
      <c r="F66" s="136" t="s">
        <v>1302</v>
      </c>
      <c r="G66" s="136" t="s">
        <v>1310</v>
      </c>
      <c r="M66" s="136" t="s">
        <v>1311</v>
      </c>
      <c r="N66" s="136" t="s">
        <v>574</v>
      </c>
      <c r="O66" s="140">
        <v>43755</v>
      </c>
      <c r="P66" s="140">
        <v>43814</v>
      </c>
      <c r="Q66" s="140">
        <v>43779</v>
      </c>
      <c r="R66" s="141">
        <v>43785</v>
      </c>
      <c r="S66" s="138">
        <v>46</v>
      </c>
      <c r="T66" s="138">
        <v>5</v>
      </c>
      <c r="U66" s="85">
        <v>0</v>
      </c>
      <c r="V66" s="83">
        <v>1</v>
      </c>
      <c r="W66" s="143">
        <v>0</v>
      </c>
      <c r="X66" s="143">
        <v>0</v>
      </c>
      <c r="AA66" s="83">
        <v>0</v>
      </c>
    </row>
    <row r="67" spans="1:27">
      <c r="A67" s="136" t="s">
        <v>1168</v>
      </c>
      <c r="B67" s="136" t="s">
        <v>1310</v>
      </c>
      <c r="C67" s="136" t="s">
        <v>1133</v>
      </c>
      <c r="D67" s="136" t="s">
        <v>1335</v>
      </c>
      <c r="E67" s="136" t="s">
        <v>1299</v>
      </c>
      <c r="F67" s="136" t="s">
        <v>1302</v>
      </c>
      <c r="G67" s="136" t="s">
        <v>1310</v>
      </c>
      <c r="M67" s="136" t="s">
        <v>1311</v>
      </c>
      <c r="N67" s="136" t="s">
        <v>574</v>
      </c>
      <c r="O67" s="140">
        <v>43755</v>
      </c>
      <c r="P67" s="140">
        <v>43814</v>
      </c>
      <c r="Q67" s="140">
        <v>43786</v>
      </c>
      <c r="R67" s="141">
        <v>43792</v>
      </c>
      <c r="S67" s="138">
        <v>47</v>
      </c>
      <c r="T67" s="138">
        <v>5</v>
      </c>
      <c r="U67" s="85">
        <v>0</v>
      </c>
      <c r="V67" s="83">
        <v>1</v>
      </c>
      <c r="W67" s="143">
        <v>0</v>
      </c>
      <c r="X67" s="143">
        <v>0</v>
      </c>
      <c r="AA67" s="83">
        <v>0</v>
      </c>
    </row>
    <row r="68" spans="1:27">
      <c r="A68" s="136" t="s">
        <v>1168</v>
      </c>
      <c r="B68" s="136" t="s">
        <v>1310</v>
      </c>
      <c r="C68" s="136" t="s">
        <v>1133</v>
      </c>
      <c r="D68" s="136" t="s">
        <v>1335</v>
      </c>
      <c r="E68" s="136" t="s">
        <v>1299</v>
      </c>
      <c r="F68" s="136" t="s">
        <v>1302</v>
      </c>
      <c r="G68" s="136" t="s">
        <v>1310</v>
      </c>
      <c r="M68" s="136" t="s">
        <v>1311</v>
      </c>
      <c r="N68" s="136" t="s">
        <v>574</v>
      </c>
      <c r="O68" s="140">
        <v>43755</v>
      </c>
      <c r="P68" s="140">
        <v>43814</v>
      </c>
      <c r="Q68" s="140">
        <v>43793</v>
      </c>
      <c r="R68" s="141">
        <v>43799</v>
      </c>
      <c r="S68" s="138">
        <v>48</v>
      </c>
      <c r="T68" s="138">
        <v>5</v>
      </c>
      <c r="U68" s="85">
        <v>0</v>
      </c>
      <c r="V68" s="83">
        <v>1</v>
      </c>
      <c r="W68" s="143">
        <v>0</v>
      </c>
      <c r="X68" s="143">
        <v>0</v>
      </c>
      <c r="AA68" s="83">
        <v>0</v>
      </c>
    </row>
    <row r="69" spans="1:27">
      <c r="A69" s="136" t="s">
        <v>1168</v>
      </c>
      <c r="B69" s="136" t="s">
        <v>1310</v>
      </c>
      <c r="C69" s="136" t="s">
        <v>1133</v>
      </c>
      <c r="D69" s="136" t="s">
        <v>1335</v>
      </c>
      <c r="E69" s="136" t="s">
        <v>1299</v>
      </c>
      <c r="F69" s="136" t="s">
        <v>1302</v>
      </c>
      <c r="G69" s="136" t="s">
        <v>1310</v>
      </c>
      <c r="M69" s="136" t="s">
        <v>1311</v>
      </c>
      <c r="N69" s="136" t="s">
        <v>574</v>
      </c>
      <c r="O69" s="140">
        <v>43755</v>
      </c>
      <c r="P69" s="140">
        <v>43814</v>
      </c>
      <c r="Q69" s="140">
        <v>43800</v>
      </c>
      <c r="R69" s="141">
        <v>43806</v>
      </c>
      <c r="S69" s="138">
        <v>49</v>
      </c>
      <c r="T69" s="138">
        <v>5</v>
      </c>
      <c r="U69" s="85">
        <v>0</v>
      </c>
      <c r="V69" s="83">
        <v>1</v>
      </c>
      <c r="W69" s="143">
        <v>0</v>
      </c>
      <c r="X69" s="143">
        <v>0</v>
      </c>
      <c r="AA69" s="83">
        <v>0</v>
      </c>
    </row>
    <row r="70" spans="1:27">
      <c r="A70" s="136" t="s">
        <v>1168</v>
      </c>
      <c r="B70" s="136" t="s">
        <v>1310</v>
      </c>
      <c r="C70" s="136" t="s">
        <v>1133</v>
      </c>
      <c r="D70" s="136" t="s">
        <v>1335</v>
      </c>
      <c r="E70" s="136" t="s">
        <v>1299</v>
      </c>
      <c r="F70" s="136" t="s">
        <v>1302</v>
      </c>
      <c r="G70" s="136" t="s">
        <v>1310</v>
      </c>
      <c r="M70" s="136" t="s">
        <v>1311</v>
      </c>
      <c r="N70" s="136" t="s">
        <v>574</v>
      </c>
      <c r="O70" s="140">
        <v>43755</v>
      </c>
      <c r="P70" s="140">
        <v>43814</v>
      </c>
      <c r="Q70" s="140">
        <v>43807</v>
      </c>
      <c r="R70" s="141">
        <v>43813</v>
      </c>
      <c r="S70" s="138">
        <v>50</v>
      </c>
      <c r="T70" s="138">
        <v>5</v>
      </c>
      <c r="U70" s="85">
        <v>0</v>
      </c>
      <c r="V70" s="83">
        <v>1</v>
      </c>
      <c r="W70" s="143">
        <v>0</v>
      </c>
      <c r="X70" s="143">
        <v>0</v>
      </c>
      <c r="AA70" s="83">
        <v>0</v>
      </c>
    </row>
    <row r="71" spans="1:27">
      <c r="A71" s="136" t="s">
        <v>1168</v>
      </c>
      <c r="B71" s="136" t="s">
        <v>1310</v>
      </c>
      <c r="C71" s="136" t="s">
        <v>1133</v>
      </c>
      <c r="D71" s="136" t="s">
        <v>1335</v>
      </c>
      <c r="E71" s="136" t="s">
        <v>1299</v>
      </c>
      <c r="F71" s="136" t="s">
        <v>1302</v>
      </c>
      <c r="G71" s="136" t="s">
        <v>1310</v>
      </c>
      <c r="M71" s="136" t="s">
        <v>1311</v>
      </c>
      <c r="N71" s="136" t="s">
        <v>574</v>
      </c>
      <c r="O71" s="140">
        <v>43755</v>
      </c>
      <c r="P71" s="140">
        <v>43814</v>
      </c>
      <c r="Q71" s="140">
        <v>43814</v>
      </c>
      <c r="R71" s="141">
        <v>43820</v>
      </c>
      <c r="S71" s="138">
        <v>51</v>
      </c>
      <c r="T71" s="138">
        <v>0</v>
      </c>
      <c r="U71" s="85">
        <v>0</v>
      </c>
      <c r="V71" s="83">
        <v>1</v>
      </c>
      <c r="W71" s="143">
        <v>0</v>
      </c>
      <c r="X71" s="143">
        <v>0</v>
      </c>
      <c r="AA71" s="83">
        <v>0</v>
      </c>
    </row>
    <row r="72" spans="1:27">
      <c r="A72" s="136" t="s">
        <v>1168</v>
      </c>
      <c r="B72" s="136" t="s">
        <v>1312</v>
      </c>
      <c r="C72" s="136" t="s">
        <v>1133</v>
      </c>
      <c r="D72" s="136" t="s">
        <v>1335</v>
      </c>
      <c r="E72" s="136" t="s">
        <v>1299</v>
      </c>
      <c r="F72" s="136" t="s">
        <v>1302</v>
      </c>
      <c r="G72" s="136" t="s">
        <v>1312</v>
      </c>
      <c r="M72" s="136" t="s">
        <v>1313</v>
      </c>
      <c r="N72" s="136" t="s">
        <v>574</v>
      </c>
      <c r="O72" s="140">
        <v>43755</v>
      </c>
      <c r="P72" s="140">
        <v>43814</v>
      </c>
      <c r="Q72" s="140">
        <v>43751</v>
      </c>
      <c r="R72" s="141">
        <v>43757</v>
      </c>
      <c r="S72" s="138">
        <v>42</v>
      </c>
      <c r="T72" s="138">
        <v>2</v>
      </c>
      <c r="U72" s="85">
        <v>0</v>
      </c>
      <c r="V72" s="83">
        <v>1</v>
      </c>
      <c r="W72" s="143">
        <v>0</v>
      </c>
      <c r="X72" s="143">
        <v>0</v>
      </c>
      <c r="AA72" s="83">
        <v>0</v>
      </c>
    </row>
    <row r="73" spans="1:27">
      <c r="A73" s="136" t="s">
        <v>1168</v>
      </c>
      <c r="B73" s="136" t="s">
        <v>1312</v>
      </c>
      <c r="C73" s="136" t="s">
        <v>1133</v>
      </c>
      <c r="D73" s="136" t="s">
        <v>1335</v>
      </c>
      <c r="E73" s="136" t="s">
        <v>1299</v>
      </c>
      <c r="F73" s="136" t="s">
        <v>1302</v>
      </c>
      <c r="G73" s="136" t="s">
        <v>1312</v>
      </c>
      <c r="M73" s="136" t="s">
        <v>1313</v>
      </c>
      <c r="N73" s="136" t="s">
        <v>574</v>
      </c>
      <c r="O73" s="140">
        <v>43755</v>
      </c>
      <c r="P73" s="140">
        <v>43814</v>
      </c>
      <c r="Q73" s="140">
        <v>43758</v>
      </c>
      <c r="R73" s="141">
        <v>43764</v>
      </c>
      <c r="S73" s="138">
        <v>43</v>
      </c>
      <c r="T73" s="138">
        <v>5</v>
      </c>
      <c r="U73" s="85">
        <v>0</v>
      </c>
      <c r="V73" s="83">
        <v>1</v>
      </c>
      <c r="W73" s="143">
        <v>0</v>
      </c>
      <c r="X73" s="143">
        <v>0</v>
      </c>
      <c r="AA73" s="83">
        <v>0</v>
      </c>
    </row>
    <row r="74" spans="1:27">
      <c r="A74" s="136" t="s">
        <v>1168</v>
      </c>
      <c r="B74" s="136" t="s">
        <v>1312</v>
      </c>
      <c r="C74" s="136" t="s">
        <v>1133</v>
      </c>
      <c r="D74" s="136" t="s">
        <v>1335</v>
      </c>
      <c r="E74" s="136" t="s">
        <v>1299</v>
      </c>
      <c r="F74" s="136" t="s">
        <v>1302</v>
      </c>
      <c r="G74" s="136" t="s">
        <v>1312</v>
      </c>
      <c r="M74" s="136" t="s">
        <v>1313</v>
      </c>
      <c r="N74" s="136" t="s">
        <v>574</v>
      </c>
      <c r="O74" s="140">
        <v>43755</v>
      </c>
      <c r="P74" s="140">
        <v>43814</v>
      </c>
      <c r="Q74" s="140">
        <v>43765</v>
      </c>
      <c r="R74" s="141">
        <v>43771</v>
      </c>
      <c r="S74" s="138">
        <v>44</v>
      </c>
      <c r="T74" s="138">
        <v>5</v>
      </c>
      <c r="U74" s="85">
        <v>0</v>
      </c>
      <c r="V74" s="83">
        <v>1</v>
      </c>
      <c r="W74" s="143">
        <v>0</v>
      </c>
      <c r="X74" s="143">
        <v>0</v>
      </c>
      <c r="AA74" s="83">
        <v>0</v>
      </c>
    </row>
    <row r="75" spans="1:27">
      <c r="A75" s="136" t="s">
        <v>1168</v>
      </c>
      <c r="B75" s="136" t="s">
        <v>1312</v>
      </c>
      <c r="C75" s="136" t="s">
        <v>1133</v>
      </c>
      <c r="D75" s="136" t="s">
        <v>1335</v>
      </c>
      <c r="E75" s="136" t="s">
        <v>1299</v>
      </c>
      <c r="F75" s="136" t="s">
        <v>1302</v>
      </c>
      <c r="G75" s="136" t="s">
        <v>1312</v>
      </c>
      <c r="M75" s="136" t="s">
        <v>1313</v>
      </c>
      <c r="N75" s="136" t="s">
        <v>574</v>
      </c>
      <c r="O75" s="140">
        <v>43755</v>
      </c>
      <c r="P75" s="140">
        <v>43814</v>
      </c>
      <c r="Q75" s="140">
        <v>43772</v>
      </c>
      <c r="R75" s="141">
        <v>43778</v>
      </c>
      <c r="S75" s="138">
        <v>45</v>
      </c>
      <c r="T75" s="138">
        <v>5</v>
      </c>
      <c r="U75" s="85">
        <v>0</v>
      </c>
      <c r="V75" s="83">
        <v>1</v>
      </c>
      <c r="W75" s="143">
        <v>0</v>
      </c>
      <c r="X75" s="143">
        <v>0</v>
      </c>
      <c r="AA75" s="83">
        <v>0</v>
      </c>
    </row>
    <row r="76" spans="1:27">
      <c r="A76" s="136" t="s">
        <v>1168</v>
      </c>
      <c r="B76" s="136" t="s">
        <v>1312</v>
      </c>
      <c r="C76" s="136" t="s">
        <v>1133</v>
      </c>
      <c r="D76" s="136" t="s">
        <v>1335</v>
      </c>
      <c r="E76" s="136" t="s">
        <v>1299</v>
      </c>
      <c r="F76" s="136" t="s">
        <v>1302</v>
      </c>
      <c r="G76" s="136" t="s">
        <v>1312</v>
      </c>
      <c r="M76" s="136" t="s">
        <v>1313</v>
      </c>
      <c r="N76" s="136" t="s">
        <v>574</v>
      </c>
      <c r="O76" s="140">
        <v>43755</v>
      </c>
      <c r="P76" s="140">
        <v>43814</v>
      </c>
      <c r="Q76" s="140">
        <v>43779</v>
      </c>
      <c r="R76" s="141">
        <v>43785</v>
      </c>
      <c r="S76" s="138">
        <v>46</v>
      </c>
      <c r="T76" s="138">
        <v>5</v>
      </c>
      <c r="U76" s="85">
        <v>0</v>
      </c>
      <c r="V76" s="83">
        <v>1</v>
      </c>
      <c r="W76" s="143">
        <v>0</v>
      </c>
      <c r="X76" s="143">
        <v>0</v>
      </c>
      <c r="AA76" s="83">
        <v>0</v>
      </c>
    </row>
    <row r="77" spans="1:27">
      <c r="A77" s="136" t="s">
        <v>1168</v>
      </c>
      <c r="B77" s="136" t="s">
        <v>1312</v>
      </c>
      <c r="C77" s="136" t="s">
        <v>1133</v>
      </c>
      <c r="D77" s="136" t="s">
        <v>1335</v>
      </c>
      <c r="E77" s="136" t="s">
        <v>1299</v>
      </c>
      <c r="F77" s="136" t="s">
        <v>1302</v>
      </c>
      <c r="G77" s="136" t="s">
        <v>1312</v>
      </c>
      <c r="M77" s="136" t="s">
        <v>1313</v>
      </c>
      <c r="N77" s="136" t="s">
        <v>574</v>
      </c>
      <c r="O77" s="140">
        <v>43755</v>
      </c>
      <c r="P77" s="140">
        <v>43814</v>
      </c>
      <c r="Q77" s="140">
        <v>43786</v>
      </c>
      <c r="R77" s="141">
        <v>43792</v>
      </c>
      <c r="S77" s="138">
        <v>47</v>
      </c>
      <c r="T77" s="138">
        <v>5</v>
      </c>
      <c r="U77" s="85">
        <v>0</v>
      </c>
      <c r="V77" s="83">
        <v>1</v>
      </c>
      <c r="W77" s="143">
        <v>0</v>
      </c>
      <c r="X77" s="143">
        <v>0</v>
      </c>
      <c r="AA77" s="83">
        <v>0</v>
      </c>
    </row>
    <row r="78" spans="1:27">
      <c r="A78" s="136" t="s">
        <v>1168</v>
      </c>
      <c r="B78" s="136" t="s">
        <v>1312</v>
      </c>
      <c r="C78" s="136" t="s">
        <v>1133</v>
      </c>
      <c r="D78" s="136" t="s">
        <v>1335</v>
      </c>
      <c r="E78" s="136" t="s">
        <v>1299</v>
      </c>
      <c r="F78" s="136" t="s">
        <v>1302</v>
      </c>
      <c r="G78" s="136" t="s">
        <v>1312</v>
      </c>
      <c r="M78" s="136" t="s">
        <v>1313</v>
      </c>
      <c r="N78" s="136" t="s">
        <v>574</v>
      </c>
      <c r="O78" s="140">
        <v>43755</v>
      </c>
      <c r="P78" s="140">
        <v>43814</v>
      </c>
      <c r="Q78" s="140">
        <v>43793</v>
      </c>
      <c r="R78" s="141">
        <v>43799</v>
      </c>
      <c r="S78" s="138">
        <v>48</v>
      </c>
      <c r="T78" s="138">
        <v>5</v>
      </c>
      <c r="U78" s="85">
        <v>0</v>
      </c>
      <c r="V78" s="83">
        <v>1</v>
      </c>
      <c r="W78" s="143">
        <v>0</v>
      </c>
      <c r="X78" s="143">
        <v>0</v>
      </c>
      <c r="AA78" s="83">
        <v>0</v>
      </c>
    </row>
    <row r="79" spans="1:27">
      <c r="A79" s="136" t="s">
        <v>1168</v>
      </c>
      <c r="B79" s="136" t="s">
        <v>1312</v>
      </c>
      <c r="C79" s="136" t="s">
        <v>1133</v>
      </c>
      <c r="D79" s="136" t="s">
        <v>1335</v>
      </c>
      <c r="E79" s="136" t="s">
        <v>1299</v>
      </c>
      <c r="F79" s="136" t="s">
        <v>1302</v>
      </c>
      <c r="G79" s="136" t="s">
        <v>1312</v>
      </c>
      <c r="M79" s="136" t="s">
        <v>1313</v>
      </c>
      <c r="N79" s="136" t="s">
        <v>574</v>
      </c>
      <c r="O79" s="140">
        <v>43755</v>
      </c>
      <c r="P79" s="140">
        <v>43814</v>
      </c>
      <c r="Q79" s="140">
        <v>43800</v>
      </c>
      <c r="R79" s="141">
        <v>43806</v>
      </c>
      <c r="S79" s="138">
        <v>49</v>
      </c>
      <c r="T79" s="138">
        <v>5</v>
      </c>
      <c r="U79" s="85">
        <v>0</v>
      </c>
      <c r="V79" s="83">
        <v>1</v>
      </c>
      <c r="W79" s="143">
        <v>0</v>
      </c>
      <c r="X79" s="143">
        <v>0</v>
      </c>
      <c r="AA79" s="83">
        <v>0</v>
      </c>
    </row>
    <row r="80" spans="1:27">
      <c r="A80" s="136" t="s">
        <v>1168</v>
      </c>
      <c r="B80" s="136" t="s">
        <v>1312</v>
      </c>
      <c r="C80" s="136" t="s">
        <v>1133</v>
      </c>
      <c r="D80" s="136" t="s">
        <v>1335</v>
      </c>
      <c r="E80" s="136" t="s">
        <v>1299</v>
      </c>
      <c r="F80" s="136" t="s">
        <v>1302</v>
      </c>
      <c r="G80" s="136" t="s">
        <v>1312</v>
      </c>
      <c r="M80" s="136" t="s">
        <v>1313</v>
      </c>
      <c r="N80" s="136" t="s">
        <v>574</v>
      </c>
      <c r="O80" s="140">
        <v>43755</v>
      </c>
      <c r="P80" s="140">
        <v>43814</v>
      </c>
      <c r="Q80" s="140">
        <v>43807</v>
      </c>
      <c r="R80" s="141">
        <v>43813</v>
      </c>
      <c r="S80" s="138">
        <v>50</v>
      </c>
      <c r="T80" s="138">
        <v>5</v>
      </c>
      <c r="U80" s="85">
        <v>0</v>
      </c>
      <c r="V80" s="83">
        <v>1</v>
      </c>
      <c r="W80" s="143">
        <v>0</v>
      </c>
      <c r="X80" s="143">
        <v>0</v>
      </c>
      <c r="AA80" s="83">
        <v>0</v>
      </c>
    </row>
    <row r="81" spans="1:27">
      <c r="A81" s="136" t="s">
        <v>1168</v>
      </c>
      <c r="B81" s="136" t="s">
        <v>1312</v>
      </c>
      <c r="C81" s="136" t="s">
        <v>1133</v>
      </c>
      <c r="D81" s="136" t="s">
        <v>1335</v>
      </c>
      <c r="E81" s="136" t="s">
        <v>1299</v>
      </c>
      <c r="F81" s="136" t="s">
        <v>1302</v>
      </c>
      <c r="G81" s="136" t="s">
        <v>1312</v>
      </c>
      <c r="M81" s="136" t="s">
        <v>1313</v>
      </c>
      <c r="N81" s="136" t="s">
        <v>574</v>
      </c>
      <c r="O81" s="140">
        <v>43755</v>
      </c>
      <c r="P81" s="140">
        <v>43814</v>
      </c>
      <c r="Q81" s="140">
        <v>43814</v>
      </c>
      <c r="R81" s="141">
        <v>43820</v>
      </c>
      <c r="S81" s="138">
        <v>51</v>
      </c>
      <c r="T81" s="138">
        <v>0</v>
      </c>
      <c r="U81" s="85">
        <v>0</v>
      </c>
      <c r="V81" s="83">
        <v>1</v>
      </c>
      <c r="W81" s="143">
        <v>0</v>
      </c>
      <c r="X81" s="143">
        <v>0</v>
      </c>
      <c r="AA81" s="83">
        <v>0</v>
      </c>
    </row>
    <row r="82" spans="1:27">
      <c r="A82" s="136" t="s">
        <v>1168</v>
      </c>
      <c r="B82" s="136" t="s">
        <v>1314</v>
      </c>
      <c r="C82" s="136" t="s">
        <v>1133</v>
      </c>
      <c r="D82" s="136" t="s">
        <v>1335</v>
      </c>
      <c r="E82" s="136" t="s">
        <v>1299</v>
      </c>
      <c r="F82" s="136" t="s">
        <v>1302</v>
      </c>
      <c r="G82" s="136" t="s">
        <v>1314</v>
      </c>
      <c r="M82" s="136" t="s">
        <v>1315</v>
      </c>
      <c r="N82" s="136" t="s">
        <v>574</v>
      </c>
      <c r="O82" s="140">
        <v>43769</v>
      </c>
      <c r="P82" s="140">
        <v>43814</v>
      </c>
      <c r="Q82" s="140">
        <v>43765</v>
      </c>
      <c r="R82" s="141">
        <v>43771</v>
      </c>
      <c r="S82" s="138">
        <v>44</v>
      </c>
      <c r="T82" s="138">
        <v>2</v>
      </c>
      <c r="U82" s="85">
        <v>0</v>
      </c>
      <c r="V82" s="83">
        <v>1</v>
      </c>
      <c r="W82" s="143">
        <v>0</v>
      </c>
      <c r="X82" s="143">
        <v>0</v>
      </c>
      <c r="AA82" s="83">
        <v>0</v>
      </c>
    </row>
    <row r="83" spans="1:27">
      <c r="A83" s="136" t="s">
        <v>1168</v>
      </c>
      <c r="B83" s="136" t="s">
        <v>1314</v>
      </c>
      <c r="C83" s="136" t="s">
        <v>1133</v>
      </c>
      <c r="D83" s="136" t="s">
        <v>1335</v>
      </c>
      <c r="E83" s="136" t="s">
        <v>1299</v>
      </c>
      <c r="F83" s="136" t="s">
        <v>1302</v>
      </c>
      <c r="G83" s="136" t="s">
        <v>1314</v>
      </c>
      <c r="M83" s="136" t="s">
        <v>1315</v>
      </c>
      <c r="N83" s="136" t="s">
        <v>574</v>
      </c>
      <c r="O83" s="140">
        <v>43769</v>
      </c>
      <c r="P83" s="140">
        <v>43814</v>
      </c>
      <c r="Q83" s="140">
        <v>43772</v>
      </c>
      <c r="R83" s="141">
        <v>43778</v>
      </c>
      <c r="S83" s="138">
        <v>45</v>
      </c>
      <c r="T83" s="138">
        <v>5</v>
      </c>
      <c r="U83" s="85">
        <v>0</v>
      </c>
      <c r="V83" s="83">
        <v>1</v>
      </c>
      <c r="W83" s="143">
        <v>0</v>
      </c>
      <c r="X83" s="143">
        <v>0</v>
      </c>
      <c r="AA83" s="83">
        <v>0</v>
      </c>
    </row>
    <row r="84" spans="1:27">
      <c r="A84" s="136" t="s">
        <v>1168</v>
      </c>
      <c r="B84" s="136" t="s">
        <v>1314</v>
      </c>
      <c r="C84" s="136" t="s">
        <v>1133</v>
      </c>
      <c r="D84" s="136" t="s">
        <v>1335</v>
      </c>
      <c r="E84" s="136" t="s">
        <v>1299</v>
      </c>
      <c r="F84" s="136" t="s">
        <v>1302</v>
      </c>
      <c r="G84" s="136" t="s">
        <v>1314</v>
      </c>
      <c r="M84" s="136" t="s">
        <v>1315</v>
      </c>
      <c r="N84" s="136" t="s">
        <v>574</v>
      </c>
      <c r="O84" s="140">
        <v>43769</v>
      </c>
      <c r="P84" s="140">
        <v>43814</v>
      </c>
      <c r="Q84" s="140">
        <v>43779</v>
      </c>
      <c r="R84" s="141">
        <v>43785</v>
      </c>
      <c r="S84" s="138">
        <v>46</v>
      </c>
      <c r="T84" s="138">
        <v>5</v>
      </c>
      <c r="U84" s="85">
        <v>0</v>
      </c>
      <c r="V84" s="83">
        <v>1</v>
      </c>
      <c r="W84" s="143">
        <v>0</v>
      </c>
      <c r="X84" s="143">
        <v>0</v>
      </c>
      <c r="AA84" s="83">
        <v>0</v>
      </c>
    </row>
    <row r="85" spans="1:27">
      <c r="A85" s="136" t="s">
        <v>1168</v>
      </c>
      <c r="B85" s="136" t="s">
        <v>1314</v>
      </c>
      <c r="C85" s="136" t="s">
        <v>1133</v>
      </c>
      <c r="D85" s="136" t="s">
        <v>1335</v>
      </c>
      <c r="E85" s="136" t="s">
        <v>1299</v>
      </c>
      <c r="F85" s="136" t="s">
        <v>1302</v>
      </c>
      <c r="G85" s="136" t="s">
        <v>1314</v>
      </c>
      <c r="M85" s="136" t="s">
        <v>1315</v>
      </c>
      <c r="N85" s="136" t="s">
        <v>574</v>
      </c>
      <c r="O85" s="140">
        <v>43769</v>
      </c>
      <c r="P85" s="140">
        <v>43814</v>
      </c>
      <c r="Q85" s="140">
        <v>43786</v>
      </c>
      <c r="R85" s="141">
        <v>43792</v>
      </c>
      <c r="S85" s="138">
        <v>47</v>
      </c>
      <c r="T85" s="138">
        <v>5</v>
      </c>
      <c r="U85" s="85">
        <v>0</v>
      </c>
      <c r="V85" s="83">
        <v>1</v>
      </c>
      <c r="W85" s="143">
        <v>0</v>
      </c>
      <c r="X85" s="143">
        <v>0</v>
      </c>
      <c r="AA85" s="83">
        <v>0</v>
      </c>
    </row>
    <row r="86" spans="1:27">
      <c r="A86" s="136" t="s">
        <v>1168</v>
      </c>
      <c r="B86" s="136" t="s">
        <v>1314</v>
      </c>
      <c r="C86" s="136" t="s">
        <v>1133</v>
      </c>
      <c r="D86" s="136" t="s">
        <v>1335</v>
      </c>
      <c r="E86" s="136" t="s">
        <v>1299</v>
      </c>
      <c r="F86" s="136" t="s">
        <v>1302</v>
      </c>
      <c r="G86" s="136" t="s">
        <v>1314</v>
      </c>
      <c r="M86" s="136" t="s">
        <v>1315</v>
      </c>
      <c r="N86" s="136" t="s">
        <v>574</v>
      </c>
      <c r="O86" s="140">
        <v>43769</v>
      </c>
      <c r="P86" s="140">
        <v>43814</v>
      </c>
      <c r="Q86" s="140">
        <v>43793</v>
      </c>
      <c r="R86" s="141">
        <v>43799</v>
      </c>
      <c r="S86" s="138">
        <v>48</v>
      </c>
      <c r="T86" s="138">
        <v>5</v>
      </c>
      <c r="U86" s="85">
        <v>0</v>
      </c>
      <c r="V86" s="83">
        <v>1</v>
      </c>
      <c r="W86" s="143">
        <v>0</v>
      </c>
      <c r="X86" s="143">
        <v>0</v>
      </c>
      <c r="AA86" s="83">
        <v>0</v>
      </c>
    </row>
    <row r="87" spans="1:27">
      <c r="A87" s="136" t="s">
        <v>1168</v>
      </c>
      <c r="B87" s="136" t="s">
        <v>1314</v>
      </c>
      <c r="C87" s="136" t="s">
        <v>1133</v>
      </c>
      <c r="D87" s="136" t="s">
        <v>1335</v>
      </c>
      <c r="E87" s="136" t="s">
        <v>1299</v>
      </c>
      <c r="F87" s="136" t="s">
        <v>1302</v>
      </c>
      <c r="G87" s="136" t="s">
        <v>1314</v>
      </c>
      <c r="M87" s="136" t="s">
        <v>1315</v>
      </c>
      <c r="N87" s="136" t="s">
        <v>574</v>
      </c>
      <c r="O87" s="140">
        <v>43769</v>
      </c>
      <c r="P87" s="140">
        <v>43814</v>
      </c>
      <c r="Q87" s="140">
        <v>43800</v>
      </c>
      <c r="R87" s="141">
        <v>43806</v>
      </c>
      <c r="S87" s="138">
        <v>49</v>
      </c>
      <c r="T87" s="138">
        <v>5</v>
      </c>
      <c r="U87" s="85">
        <v>0</v>
      </c>
      <c r="V87" s="83">
        <v>1</v>
      </c>
      <c r="W87" s="143">
        <v>0</v>
      </c>
      <c r="X87" s="143">
        <v>0</v>
      </c>
      <c r="AA87" s="83">
        <v>0</v>
      </c>
    </row>
    <row r="88" spans="1:27">
      <c r="A88" s="136" t="s">
        <v>1168</v>
      </c>
      <c r="B88" s="136" t="s">
        <v>1314</v>
      </c>
      <c r="C88" s="136" t="s">
        <v>1133</v>
      </c>
      <c r="D88" s="136" t="s">
        <v>1335</v>
      </c>
      <c r="E88" s="136" t="s">
        <v>1299</v>
      </c>
      <c r="F88" s="136" t="s">
        <v>1302</v>
      </c>
      <c r="G88" s="136" t="s">
        <v>1314</v>
      </c>
      <c r="M88" s="136" t="s">
        <v>1315</v>
      </c>
      <c r="N88" s="136" t="s">
        <v>574</v>
      </c>
      <c r="O88" s="140">
        <v>43769</v>
      </c>
      <c r="P88" s="140">
        <v>43814</v>
      </c>
      <c r="Q88" s="140">
        <v>43807</v>
      </c>
      <c r="R88" s="141">
        <v>43813</v>
      </c>
      <c r="S88" s="138">
        <v>50</v>
      </c>
      <c r="T88" s="138">
        <v>5</v>
      </c>
      <c r="U88" s="85">
        <v>0</v>
      </c>
      <c r="V88" s="83">
        <v>1</v>
      </c>
      <c r="W88" s="143">
        <v>0</v>
      </c>
      <c r="X88" s="143">
        <v>0</v>
      </c>
      <c r="AA88" s="83">
        <v>0</v>
      </c>
    </row>
    <row r="89" spans="1:27">
      <c r="A89" s="136" t="s">
        <v>1168</v>
      </c>
      <c r="B89" s="136" t="s">
        <v>1314</v>
      </c>
      <c r="C89" s="136" t="s">
        <v>1133</v>
      </c>
      <c r="D89" s="136" t="s">
        <v>1335</v>
      </c>
      <c r="E89" s="136" t="s">
        <v>1299</v>
      </c>
      <c r="F89" s="136" t="s">
        <v>1302</v>
      </c>
      <c r="G89" s="136" t="s">
        <v>1314</v>
      </c>
      <c r="M89" s="136" t="s">
        <v>1315</v>
      </c>
      <c r="N89" s="136" t="s">
        <v>574</v>
      </c>
      <c r="O89" s="140">
        <v>43769</v>
      </c>
      <c r="P89" s="140">
        <v>43814</v>
      </c>
      <c r="Q89" s="140">
        <v>43814</v>
      </c>
      <c r="R89" s="141">
        <v>43820</v>
      </c>
      <c r="S89" s="138">
        <v>51</v>
      </c>
      <c r="T89" s="138">
        <v>0</v>
      </c>
      <c r="U89" s="85">
        <v>0</v>
      </c>
      <c r="V89" s="83">
        <v>1</v>
      </c>
      <c r="W89" s="143">
        <v>0</v>
      </c>
      <c r="X89" s="143">
        <v>0</v>
      </c>
      <c r="AA89" s="83">
        <v>0</v>
      </c>
    </row>
    <row r="90" spans="1:27">
      <c r="A90" s="136" t="s">
        <v>1151</v>
      </c>
      <c r="B90" s="136" t="s">
        <v>1317</v>
      </c>
      <c r="C90" s="136" t="s">
        <v>1133</v>
      </c>
      <c r="D90" s="136" t="s">
        <v>1335</v>
      </c>
      <c r="E90" s="136" t="s">
        <v>1316</v>
      </c>
      <c r="F90" s="136" t="s">
        <v>1317</v>
      </c>
      <c r="M90" s="136" t="s">
        <v>1318</v>
      </c>
      <c r="N90" s="136" t="s">
        <v>574</v>
      </c>
      <c r="O90" s="140">
        <v>43797</v>
      </c>
      <c r="P90" s="140">
        <v>43815</v>
      </c>
      <c r="Q90" s="140">
        <v>43793</v>
      </c>
      <c r="R90" s="141">
        <v>43799</v>
      </c>
      <c r="S90" s="138">
        <v>48</v>
      </c>
      <c r="T90" s="138">
        <v>2</v>
      </c>
      <c r="U90" s="85">
        <v>0</v>
      </c>
      <c r="V90" s="83">
        <v>1</v>
      </c>
      <c r="W90" s="143">
        <v>0</v>
      </c>
      <c r="X90" s="143">
        <v>0</v>
      </c>
      <c r="AA90" s="83">
        <v>0</v>
      </c>
    </row>
    <row r="91" spans="1:27">
      <c r="A91" s="136" t="s">
        <v>1151</v>
      </c>
      <c r="B91" s="136" t="s">
        <v>1317</v>
      </c>
      <c r="C91" s="136" t="s">
        <v>1133</v>
      </c>
      <c r="D91" s="136" t="s">
        <v>1335</v>
      </c>
      <c r="E91" s="136" t="s">
        <v>1316</v>
      </c>
      <c r="F91" s="136" t="s">
        <v>1317</v>
      </c>
      <c r="M91" s="136" t="s">
        <v>1318</v>
      </c>
      <c r="N91" s="136" t="s">
        <v>574</v>
      </c>
      <c r="O91" s="140">
        <v>43797</v>
      </c>
      <c r="P91" s="140">
        <v>43815</v>
      </c>
      <c r="Q91" s="140">
        <v>43800</v>
      </c>
      <c r="R91" s="141">
        <v>43806</v>
      </c>
      <c r="S91" s="138">
        <v>49</v>
      </c>
      <c r="T91" s="138">
        <v>5</v>
      </c>
      <c r="U91" s="85">
        <v>0</v>
      </c>
      <c r="V91" s="83">
        <v>1</v>
      </c>
      <c r="W91" s="143">
        <v>0</v>
      </c>
      <c r="X91" s="143">
        <v>0</v>
      </c>
      <c r="AA91" s="83">
        <v>0</v>
      </c>
    </row>
    <row r="92" spans="1:27">
      <c r="A92" s="136" t="s">
        <v>1151</v>
      </c>
      <c r="B92" s="136" t="s">
        <v>1317</v>
      </c>
      <c r="C92" s="136" t="s">
        <v>1133</v>
      </c>
      <c r="D92" s="136" t="s">
        <v>1335</v>
      </c>
      <c r="E92" s="136" t="s">
        <v>1316</v>
      </c>
      <c r="F92" s="136" t="s">
        <v>1317</v>
      </c>
      <c r="M92" s="136" t="s">
        <v>1318</v>
      </c>
      <c r="N92" s="136" t="s">
        <v>574</v>
      </c>
      <c r="O92" s="140">
        <v>43797</v>
      </c>
      <c r="P92" s="140">
        <v>43815</v>
      </c>
      <c r="Q92" s="140">
        <v>43807</v>
      </c>
      <c r="R92" s="141">
        <v>43813</v>
      </c>
      <c r="S92" s="138">
        <v>50</v>
      </c>
      <c r="T92" s="138">
        <v>5</v>
      </c>
      <c r="U92" s="85">
        <v>0</v>
      </c>
      <c r="V92" s="83">
        <v>1</v>
      </c>
      <c r="W92" s="143">
        <v>0</v>
      </c>
      <c r="X92" s="143">
        <v>0</v>
      </c>
      <c r="AA92" s="83">
        <v>0</v>
      </c>
    </row>
    <row r="93" spans="1:27">
      <c r="A93" s="136" t="s">
        <v>1151</v>
      </c>
      <c r="B93" s="136" t="s">
        <v>1317</v>
      </c>
      <c r="C93" s="136" t="s">
        <v>1133</v>
      </c>
      <c r="D93" s="136" t="s">
        <v>1335</v>
      </c>
      <c r="E93" s="136" t="s">
        <v>1316</v>
      </c>
      <c r="F93" s="136" t="s">
        <v>1317</v>
      </c>
      <c r="M93" s="136" t="s">
        <v>1318</v>
      </c>
      <c r="N93" s="136" t="s">
        <v>574</v>
      </c>
      <c r="O93" s="140">
        <v>43797</v>
      </c>
      <c r="P93" s="140">
        <v>43815</v>
      </c>
      <c r="Q93" s="140">
        <v>43814</v>
      </c>
      <c r="R93" s="141">
        <v>43820</v>
      </c>
      <c r="S93" s="138">
        <v>51</v>
      </c>
      <c r="T93" s="138">
        <v>1</v>
      </c>
      <c r="U93" s="85">
        <v>0</v>
      </c>
      <c r="V93" s="83">
        <v>1</v>
      </c>
      <c r="W93" s="143">
        <v>0</v>
      </c>
      <c r="X93" s="143">
        <v>0</v>
      </c>
      <c r="AA93" s="83">
        <v>0</v>
      </c>
    </row>
    <row r="94" spans="1:27">
      <c r="A94" s="136" t="s">
        <v>1151</v>
      </c>
      <c r="B94" s="136" t="s">
        <v>1319</v>
      </c>
      <c r="C94" s="136" t="s">
        <v>1133</v>
      </c>
      <c r="D94" s="136" t="s">
        <v>1335</v>
      </c>
      <c r="E94" s="136" t="s">
        <v>1316</v>
      </c>
      <c r="F94" s="136" t="s">
        <v>1319</v>
      </c>
      <c r="M94" s="136" t="s">
        <v>1320</v>
      </c>
      <c r="N94" s="136" t="s">
        <v>574</v>
      </c>
      <c r="O94" s="140">
        <v>43818</v>
      </c>
      <c r="P94" s="140">
        <v>43822</v>
      </c>
      <c r="Q94" s="140">
        <v>43814</v>
      </c>
      <c r="R94" s="141">
        <v>43820</v>
      </c>
      <c r="S94" s="138">
        <v>51</v>
      </c>
      <c r="T94" s="138">
        <v>2</v>
      </c>
      <c r="U94" s="85">
        <v>0</v>
      </c>
      <c r="V94" s="83">
        <v>1</v>
      </c>
      <c r="W94" s="143">
        <v>0</v>
      </c>
      <c r="X94" s="143">
        <v>0</v>
      </c>
      <c r="AA94" s="83">
        <v>0</v>
      </c>
    </row>
    <row r="95" spans="1:27">
      <c r="A95" s="136" t="s">
        <v>1151</v>
      </c>
      <c r="B95" s="136" t="s">
        <v>1319</v>
      </c>
      <c r="C95" s="136" t="s">
        <v>1133</v>
      </c>
      <c r="D95" s="136" t="s">
        <v>1335</v>
      </c>
      <c r="E95" s="136" t="s">
        <v>1316</v>
      </c>
      <c r="F95" s="136" t="s">
        <v>1319</v>
      </c>
      <c r="M95" s="136" t="s">
        <v>1320</v>
      </c>
      <c r="N95" s="136" t="s">
        <v>574</v>
      </c>
      <c r="O95" s="140">
        <v>43818</v>
      </c>
      <c r="P95" s="140">
        <v>43822</v>
      </c>
      <c r="Q95" s="140">
        <v>43821</v>
      </c>
      <c r="R95" s="141">
        <v>43827</v>
      </c>
      <c r="S95" s="138">
        <v>52</v>
      </c>
      <c r="T95" s="138">
        <v>1</v>
      </c>
      <c r="U95" s="85">
        <v>0</v>
      </c>
      <c r="V95" s="83">
        <v>1</v>
      </c>
      <c r="W95" s="143">
        <v>0</v>
      </c>
      <c r="X95" s="143">
        <v>0</v>
      </c>
      <c r="AA95" s="83">
        <v>0</v>
      </c>
    </row>
    <row r="96" spans="1:27">
      <c r="A96" s="136" t="s">
        <v>1151</v>
      </c>
      <c r="B96" s="136" t="s">
        <v>1322</v>
      </c>
      <c r="C96" s="136" t="s">
        <v>1133</v>
      </c>
      <c r="D96" s="136" t="s">
        <v>1336</v>
      </c>
      <c r="E96" s="136" t="s">
        <v>1321</v>
      </c>
      <c r="F96" s="136" t="s">
        <v>1322</v>
      </c>
      <c r="M96" s="136" t="s">
        <v>1323</v>
      </c>
      <c r="N96" s="136" t="s">
        <v>574</v>
      </c>
      <c r="O96" s="140">
        <v>43818</v>
      </c>
      <c r="P96" s="140">
        <v>43820</v>
      </c>
      <c r="Q96" s="140">
        <v>43814</v>
      </c>
      <c r="R96" s="141">
        <v>43820</v>
      </c>
      <c r="S96" s="138">
        <v>51</v>
      </c>
      <c r="T96" s="138">
        <v>2</v>
      </c>
      <c r="U96" s="85">
        <v>0</v>
      </c>
      <c r="V96" s="83">
        <v>1</v>
      </c>
      <c r="W96" s="143">
        <v>0</v>
      </c>
      <c r="X96" s="143">
        <v>0</v>
      </c>
      <c r="AA96" s="83">
        <v>0</v>
      </c>
    </row>
    <row r="97" spans="1:27">
      <c r="A97" s="136" t="s">
        <v>1151</v>
      </c>
      <c r="B97" s="136" t="s">
        <v>1325</v>
      </c>
      <c r="C97" s="136" t="s">
        <v>1133</v>
      </c>
      <c r="D97" s="136" t="s">
        <v>1336</v>
      </c>
      <c r="E97" s="136" t="s">
        <v>1324</v>
      </c>
      <c r="F97" s="136" t="s">
        <v>1325</v>
      </c>
      <c r="M97" s="136" t="s">
        <v>1326</v>
      </c>
      <c r="N97" s="136" t="s">
        <v>574</v>
      </c>
      <c r="O97" s="140">
        <v>43822</v>
      </c>
      <c r="P97" s="140">
        <v>43824</v>
      </c>
      <c r="Q97" s="140">
        <v>43821</v>
      </c>
      <c r="R97" s="141">
        <v>43827</v>
      </c>
      <c r="S97" s="138">
        <v>52</v>
      </c>
      <c r="T97" s="138">
        <v>2</v>
      </c>
      <c r="U97" s="85">
        <v>0</v>
      </c>
      <c r="V97" s="83">
        <v>1</v>
      </c>
      <c r="W97" s="143">
        <v>0</v>
      </c>
      <c r="X97" s="143">
        <v>0</v>
      </c>
      <c r="AA97" s="83">
        <v>0</v>
      </c>
    </row>
    <row r="98" spans="1:27">
      <c r="A98" s="136" t="s">
        <v>1151</v>
      </c>
      <c r="B98" s="136" t="s">
        <v>1327</v>
      </c>
      <c r="C98" s="136" t="s">
        <v>1133</v>
      </c>
      <c r="D98" s="136" t="s">
        <v>1336</v>
      </c>
      <c r="E98" s="136" t="s">
        <v>1324</v>
      </c>
      <c r="F98" s="136" t="s">
        <v>1327</v>
      </c>
      <c r="M98" s="136" t="s">
        <v>1328</v>
      </c>
      <c r="N98" s="136" t="s">
        <v>574</v>
      </c>
      <c r="O98" s="140">
        <v>43822</v>
      </c>
      <c r="P98" s="140">
        <v>43824</v>
      </c>
      <c r="Q98" s="140">
        <v>43821</v>
      </c>
      <c r="R98" s="141">
        <v>43827</v>
      </c>
      <c r="S98" s="138">
        <v>52</v>
      </c>
      <c r="T98" s="138">
        <v>2</v>
      </c>
      <c r="U98" s="85">
        <v>0</v>
      </c>
      <c r="V98" s="83">
        <v>1</v>
      </c>
      <c r="W98" s="143">
        <v>0</v>
      </c>
      <c r="X98" s="143">
        <v>0</v>
      </c>
      <c r="AA98" s="83">
        <v>0</v>
      </c>
    </row>
    <row r="99" spans="1:27">
      <c r="A99" s="136" t="s">
        <v>1151</v>
      </c>
      <c r="B99" s="136" t="s">
        <v>1329</v>
      </c>
      <c r="C99" s="136" t="s">
        <v>1133</v>
      </c>
      <c r="D99" s="136" t="s">
        <v>1336</v>
      </c>
      <c r="E99" s="136" t="s">
        <v>1324</v>
      </c>
      <c r="F99" s="136" t="s">
        <v>1329</v>
      </c>
      <c r="M99" s="136" t="s">
        <v>1330</v>
      </c>
      <c r="N99" s="136" t="s">
        <v>574</v>
      </c>
      <c r="O99" s="140">
        <v>43822</v>
      </c>
      <c r="P99" s="140">
        <v>43824</v>
      </c>
      <c r="Q99" s="140">
        <v>43821</v>
      </c>
      <c r="R99" s="141">
        <v>43827</v>
      </c>
      <c r="S99" s="138">
        <v>52</v>
      </c>
      <c r="T99" s="138">
        <v>2</v>
      </c>
      <c r="U99" s="85">
        <v>0</v>
      </c>
      <c r="V99" s="83">
        <v>1</v>
      </c>
      <c r="W99" s="143">
        <v>0</v>
      </c>
      <c r="X99" s="143">
        <v>0</v>
      </c>
      <c r="AA99" s="83">
        <v>0</v>
      </c>
    </row>
    <row r="100" spans="1:27">
      <c r="A100" s="136" t="s">
        <v>1151</v>
      </c>
      <c r="B100" s="136" t="s">
        <v>1331</v>
      </c>
      <c r="C100" s="136" t="s">
        <v>1133</v>
      </c>
      <c r="D100" s="136" t="s">
        <v>1336</v>
      </c>
      <c r="E100" s="136" t="s">
        <v>1324</v>
      </c>
      <c r="F100" s="136" t="s">
        <v>1331</v>
      </c>
      <c r="M100" s="136" t="s">
        <v>1332</v>
      </c>
      <c r="N100" s="136" t="s">
        <v>574</v>
      </c>
      <c r="O100" s="140">
        <v>43825</v>
      </c>
      <c r="P100" s="140">
        <v>43825</v>
      </c>
      <c r="Q100" s="140">
        <v>43821</v>
      </c>
      <c r="R100" s="141">
        <v>43827</v>
      </c>
      <c r="S100" s="138">
        <v>52</v>
      </c>
      <c r="T100" s="138">
        <v>1</v>
      </c>
      <c r="U100" s="85">
        <v>0</v>
      </c>
      <c r="V100" s="83">
        <v>1</v>
      </c>
      <c r="W100" s="143">
        <v>0</v>
      </c>
      <c r="X100" s="143">
        <v>0</v>
      </c>
      <c r="AA100" s="83">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Y17"/>
  <sheetViews>
    <sheetView zoomScale="85" zoomScaleNormal="85" workbookViewId="0">
      <selection activeCell="E27" sqref="E27"/>
    </sheetView>
  </sheetViews>
  <sheetFormatPr defaultRowHeight="17.399999999999999"/>
  <cols>
    <col min="1" max="1" width="16" customWidth="1"/>
    <col min="2" max="2" width="19" bestFit="1" customWidth="1"/>
    <col min="3" max="3" width="23" bestFit="1" customWidth="1"/>
    <col min="4" max="4" width="14.19921875" bestFit="1" customWidth="1"/>
    <col min="5" max="5" width="9.3984375" bestFit="1" customWidth="1"/>
    <col min="6" max="6" width="5.69921875" bestFit="1" customWidth="1"/>
    <col min="7" max="7" width="17.8984375" bestFit="1" customWidth="1"/>
    <col min="8" max="8" width="5.19921875" bestFit="1" customWidth="1"/>
    <col min="9" max="10" width="11.59765625" style="113" bestFit="1" customWidth="1"/>
    <col min="11" max="11" width="24.8984375" style="113" bestFit="1" customWidth="1"/>
    <col min="12" max="12" width="9.09765625" bestFit="1" customWidth="1"/>
    <col min="14" max="14" width="11" bestFit="1" customWidth="1"/>
    <col min="15" max="15" width="7.09765625" bestFit="1" customWidth="1"/>
    <col min="17" max="18" width="11" bestFit="1" customWidth="1"/>
    <col min="19" max="19" width="13" bestFit="1" customWidth="1"/>
    <col min="20" max="20" width="11" bestFit="1" customWidth="1"/>
    <col min="21" max="21" width="7.09765625" bestFit="1" customWidth="1"/>
    <col min="22" max="22" width="13.5" bestFit="1" customWidth="1"/>
    <col min="23" max="23" width="7.09765625" bestFit="1" customWidth="1"/>
    <col min="24" max="25" width="11" bestFit="1" customWidth="1"/>
  </cols>
  <sheetData>
    <row r="1" spans="1:25">
      <c r="A1" s="154" t="s">
        <v>1003</v>
      </c>
      <c r="B1" s="154" t="s">
        <v>1007</v>
      </c>
      <c r="C1" s="154" t="s">
        <v>1004</v>
      </c>
      <c r="D1" s="154" t="s">
        <v>1005</v>
      </c>
      <c r="E1" s="154" t="s">
        <v>1002</v>
      </c>
      <c r="F1" s="154" t="s">
        <v>346</v>
      </c>
      <c r="G1" s="154" t="s">
        <v>593</v>
      </c>
      <c r="H1" s="154" t="s">
        <v>540</v>
      </c>
      <c r="I1" s="155" t="s">
        <v>572</v>
      </c>
      <c r="J1" s="155" t="s">
        <v>573</v>
      </c>
      <c r="K1" s="155" t="s">
        <v>1211</v>
      </c>
      <c r="L1" s="154" t="s">
        <v>127</v>
      </c>
      <c r="M1" s="154" t="s">
        <v>594</v>
      </c>
      <c r="N1" s="154" t="s">
        <v>595</v>
      </c>
      <c r="O1" s="154" t="s">
        <v>596</v>
      </c>
      <c r="P1" s="154" t="s">
        <v>597</v>
      </c>
      <c r="Q1" s="154" t="s">
        <v>598</v>
      </c>
      <c r="R1" s="154" t="s">
        <v>599</v>
      </c>
      <c r="S1" s="154" t="s">
        <v>600</v>
      </c>
      <c r="T1" s="154" t="s">
        <v>601</v>
      </c>
      <c r="U1" s="154" t="s">
        <v>541</v>
      </c>
      <c r="V1" s="154" t="s">
        <v>542</v>
      </c>
      <c r="W1" s="154" t="s">
        <v>543</v>
      </c>
      <c r="X1" s="154" t="s">
        <v>799</v>
      </c>
      <c r="Y1" s="154" t="s">
        <v>626</v>
      </c>
    </row>
    <row r="2" spans="1:25">
      <c r="B2" t="s">
        <v>1032</v>
      </c>
      <c r="C2" t="s">
        <v>1263</v>
      </c>
      <c r="D2" t="s">
        <v>1048</v>
      </c>
      <c r="E2">
        <v>1</v>
      </c>
      <c r="F2" t="s">
        <v>1048</v>
      </c>
      <c r="G2" t="s">
        <v>1180</v>
      </c>
      <c r="I2" s="113">
        <v>43724</v>
      </c>
      <c r="J2" s="113">
        <v>43791</v>
      </c>
      <c r="X2">
        <v>0</v>
      </c>
      <c r="Y2">
        <v>0</v>
      </c>
    </row>
    <row r="3" spans="1:25">
      <c r="B3" s="113">
        <v>43709</v>
      </c>
      <c r="C3" t="s">
        <v>1338</v>
      </c>
      <c r="D3" t="s">
        <v>1133</v>
      </c>
      <c r="E3">
        <v>2</v>
      </c>
      <c r="F3" t="s">
        <v>1143</v>
      </c>
      <c r="G3" t="s">
        <v>677</v>
      </c>
      <c r="I3" s="113">
        <v>43724</v>
      </c>
      <c r="J3" s="113">
        <v>43728</v>
      </c>
      <c r="X3">
        <v>0</v>
      </c>
      <c r="Y3">
        <v>0</v>
      </c>
    </row>
    <row r="4" spans="1:25">
      <c r="B4" s="113">
        <v>43799</v>
      </c>
      <c r="C4" t="s">
        <v>1339</v>
      </c>
      <c r="D4" t="s">
        <v>1150</v>
      </c>
      <c r="E4">
        <v>3</v>
      </c>
      <c r="F4" t="s">
        <v>1144</v>
      </c>
      <c r="G4" t="s">
        <v>1181</v>
      </c>
      <c r="I4" s="113">
        <v>43724</v>
      </c>
      <c r="J4" s="113">
        <v>43727</v>
      </c>
      <c r="V4" t="s">
        <v>1201</v>
      </c>
      <c r="X4" s="119">
        <v>1</v>
      </c>
      <c r="Y4" s="119">
        <v>1</v>
      </c>
    </row>
    <row r="5" spans="1:25">
      <c r="B5" s="119">
        <v>0.45</v>
      </c>
      <c r="C5" t="s">
        <v>1340</v>
      </c>
      <c r="D5" t="s">
        <v>1151</v>
      </c>
      <c r="E5">
        <v>3</v>
      </c>
      <c r="F5" t="s">
        <v>1145</v>
      </c>
      <c r="G5" t="s">
        <v>1182</v>
      </c>
      <c r="I5" s="113">
        <v>43728</v>
      </c>
      <c r="J5" s="113">
        <v>43728</v>
      </c>
      <c r="K5" s="113" t="s">
        <v>1209</v>
      </c>
      <c r="Q5" s="113"/>
      <c r="X5" s="119">
        <v>1</v>
      </c>
      <c r="Y5" s="119">
        <v>1</v>
      </c>
    </row>
    <row r="6" spans="1:25">
      <c r="B6" s="144">
        <v>0.43330000000000002</v>
      </c>
      <c r="C6" t="s">
        <v>1341</v>
      </c>
      <c r="D6" t="s">
        <v>1168</v>
      </c>
      <c r="E6">
        <v>3</v>
      </c>
      <c r="F6" t="s">
        <v>1193</v>
      </c>
      <c r="G6" t="s">
        <v>1183</v>
      </c>
      <c r="I6" s="113">
        <v>43724</v>
      </c>
      <c r="J6" s="113">
        <v>43726</v>
      </c>
      <c r="V6" t="s">
        <v>1202</v>
      </c>
      <c r="X6">
        <v>0</v>
      </c>
      <c r="Y6">
        <v>0</v>
      </c>
    </row>
    <row r="7" spans="1:25">
      <c r="C7" t="s">
        <v>1342</v>
      </c>
      <c r="D7" t="s">
        <v>1169</v>
      </c>
      <c r="E7">
        <v>3</v>
      </c>
      <c r="F7" t="s">
        <v>1194</v>
      </c>
      <c r="G7" t="s">
        <v>1184</v>
      </c>
      <c r="I7" s="113">
        <v>43727</v>
      </c>
      <c r="J7" s="113">
        <v>43728</v>
      </c>
      <c r="V7" t="s">
        <v>1202</v>
      </c>
      <c r="X7">
        <v>0</v>
      </c>
      <c r="Y7">
        <v>0</v>
      </c>
    </row>
    <row r="8" spans="1:25">
      <c r="C8" t="s">
        <v>1343</v>
      </c>
      <c r="D8" t="s">
        <v>1170</v>
      </c>
      <c r="E8">
        <v>2</v>
      </c>
      <c r="F8" t="s">
        <v>1146</v>
      </c>
      <c r="G8" t="s">
        <v>1001</v>
      </c>
      <c r="I8" s="113">
        <v>43731</v>
      </c>
      <c r="J8" s="113">
        <v>43749</v>
      </c>
      <c r="X8">
        <v>0</v>
      </c>
      <c r="Y8">
        <v>0</v>
      </c>
    </row>
    <row r="9" spans="1:25">
      <c r="C9" t="s">
        <v>1344</v>
      </c>
      <c r="D9" t="s">
        <v>1171</v>
      </c>
      <c r="E9">
        <v>3</v>
      </c>
      <c r="F9" t="s">
        <v>1147</v>
      </c>
      <c r="G9" t="s">
        <v>1185</v>
      </c>
      <c r="I9" s="113">
        <v>43731</v>
      </c>
      <c r="J9" s="113">
        <v>43735</v>
      </c>
      <c r="V9" t="s">
        <v>1203</v>
      </c>
      <c r="X9">
        <v>0</v>
      </c>
      <c r="Y9">
        <v>0</v>
      </c>
    </row>
    <row r="10" spans="1:25">
      <c r="C10" t="s">
        <v>1345</v>
      </c>
      <c r="D10" t="s">
        <v>1172</v>
      </c>
      <c r="E10">
        <v>3</v>
      </c>
      <c r="F10" t="s">
        <v>1195</v>
      </c>
      <c r="G10" t="s">
        <v>1186</v>
      </c>
      <c r="I10" s="113">
        <v>43738</v>
      </c>
      <c r="J10" s="113">
        <v>43749</v>
      </c>
      <c r="V10" t="s">
        <v>1203</v>
      </c>
      <c r="X10">
        <v>0</v>
      </c>
      <c r="Y10">
        <v>0</v>
      </c>
    </row>
    <row r="11" spans="1:25">
      <c r="D11" t="s">
        <v>1173</v>
      </c>
      <c r="E11">
        <v>2</v>
      </c>
      <c r="F11" t="s">
        <v>1148</v>
      </c>
      <c r="G11" t="s">
        <v>1187</v>
      </c>
      <c r="I11" s="113">
        <v>43752</v>
      </c>
      <c r="J11" s="113">
        <v>43777</v>
      </c>
      <c r="X11">
        <v>0</v>
      </c>
      <c r="Y11">
        <v>0</v>
      </c>
    </row>
    <row r="12" spans="1:25">
      <c r="D12" t="s">
        <v>1174</v>
      </c>
      <c r="E12">
        <v>3</v>
      </c>
      <c r="F12" t="s">
        <v>1149</v>
      </c>
      <c r="G12" t="s">
        <v>1188</v>
      </c>
      <c r="I12" s="113">
        <v>43752</v>
      </c>
      <c r="J12" s="113">
        <v>43770</v>
      </c>
      <c r="X12">
        <v>0</v>
      </c>
      <c r="Y12">
        <v>0</v>
      </c>
    </row>
    <row r="13" spans="1:25">
      <c r="D13" t="s">
        <v>1175</v>
      </c>
      <c r="E13">
        <v>3</v>
      </c>
      <c r="F13" t="s">
        <v>1196</v>
      </c>
      <c r="G13" t="s">
        <v>1189</v>
      </c>
      <c r="I13" s="113">
        <v>43773</v>
      </c>
      <c r="J13" s="113">
        <v>43777</v>
      </c>
      <c r="V13" t="s">
        <v>1204</v>
      </c>
      <c r="X13">
        <v>0</v>
      </c>
      <c r="Y13">
        <v>0</v>
      </c>
    </row>
    <row r="14" spans="1:25">
      <c r="D14" t="s">
        <v>1176</v>
      </c>
      <c r="E14">
        <v>2</v>
      </c>
      <c r="F14" t="s">
        <v>1197</v>
      </c>
      <c r="G14" t="s">
        <v>1190</v>
      </c>
      <c r="I14" s="113">
        <v>43780</v>
      </c>
      <c r="J14" s="113">
        <v>43791</v>
      </c>
      <c r="X14">
        <v>0</v>
      </c>
      <c r="Y14">
        <v>0</v>
      </c>
    </row>
    <row r="15" spans="1:25">
      <c r="D15" t="s">
        <v>1177</v>
      </c>
      <c r="E15">
        <v>3</v>
      </c>
      <c r="F15" t="s">
        <v>1198</v>
      </c>
      <c r="G15" t="s">
        <v>1191</v>
      </c>
      <c r="I15" s="113">
        <v>43780</v>
      </c>
      <c r="J15" s="113">
        <v>43784</v>
      </c>
      <c r="V15" t="s">
        <v>1205</v>
      </c>
      <c r="X15">
        <v>0</v>
      </c>
      <c r="Y15">
        <v>0</v>
      </c>
    </row>
    <row r="16" spans="1:25">
      <c r="D16" t="s">
        <v>1178</v>
      </c>
      <c r="E16">
        <v>3</v>
      </c>
      <c r="F16" t="s">
        <v>1199</v>
      </c>
      <c r="G16" t="s">
        <v>1192</v>
      </c>
      <c r="I16" s="113">
        <v>43787</v>
      </c>
      <c r="J16" s="113">
        <v>43789</v>
      </c>
      <c r="K16" s="113" t="s">
        <v>1210</v>
      </c>
      <c r="V16" t="s">
        <v>1206</v>
      </c>
      <c r="X16">
        <v>0</v>
      </c>
      <c r="Y16">
        <v>0</v>
      </c>
    </row>
    <row r="17" spans="4:25">
      <c r="D17" t="s">
        <v>1179</v>
      </c>
      <c r="E17">
        <v>3</v>
      </c>
      <c r="F17" t="s">
        <v>1200</v>
      </c>
      <c r="G17" t="s">
        <v>1208</v>
      </c>
      <c r="I17" s="113">
        <v>43790</v>
      </c>
      <c r="J17" s="113">
        <v>43791</v>
      </c>
      <c r="V17" t="s">
        <v>1207</v>
      </c>
      <c r="X17">
        <v>0</v>
      </c>
      <c r="Y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이름이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안동현</cp:lastModifiedBy>
  <cp:lastPrinted>2019-08-24T08:53:04Z</cp:lastPrinted>
  <dcterms:created xsi:type="dcterms:W3CDTF">2018-02-18T09:45:14Z</dcterms:created>
  <dcterms:modified xsi:type="dcterms:W3CDTF">2020-01-14T08:14:41Z</dcterms:modified>
</cp:coreProperties>
</file>